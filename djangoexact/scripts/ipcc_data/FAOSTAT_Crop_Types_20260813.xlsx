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unfao-my.sharepoint.com/personal/marco_horsting_fao_org/Documents/Documents/EX-ACT docs/"/>
    </mc:Choice>
  </mc:AlternateContent>
  <xr:revisionPtr revIDLastSave="0" documentId="8_{F46AD0FC-B6A3-45DD-8018-3B7AE3D6C7DA}" xr6:coauthVersionLast="47" xr6:coauthVersionMax="47" xr10:uidLastSave="{00000000-0000-0000-0000-000000000000}"/>
  <bookViews>
    <workbookView xWindow="-120" yWindow="-120" windowWidth="29040" windowHeight="15720" firstSheet="3" activeTab="4" xr2:uid="{4DB65174-6478-4F7F-90A1-DF7C78725868}"/>
  </bookViews>
  <sheets>
    <sheet name="CropNitrousEstimationDefaultFac" sheetId="1" state="hidden" r:id="rId1"/>
    <sheet name="FAO crop mapping" sheetId="2" state="hidden" r:id="rId2"/>
    <sheet name="Final_list" sheetId="3" state="hidden" r:id="rId3"/>
    <sheet name="Final_values" sheetId="4" r:id="rId4"/>
    <sheet name="Annualsperennials" sheetId="6" r:id="rId5"/>
  </sheets>
  <definedNames>
    <definedName name="_xlnm._FilterDatabase" localSheetId="4" hidden="1">Annualsperennials!$A$1:$G$145</definedName>
    <definedName name="_xlnm._FilterDatabase" localSheetId="3" hidden="1">Final_values!$A$1:$K$334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J4" i="3"/>
  <c r="J5" i="3"/>
  <c r="J6" i="3"/>
  <c r="J7" i="3"/>
  <c r="J8" i="3"/>
  <c r="J9" i="3"/>
  <c r="J10" i="3"/>
  <c r="J11" i="3"/>
  <c r="J12" i="3"/>
  <c r="J13" i="3"/>
  <c r="J14" i="3"/>
  <c r="J15" i="3"/>
  <c r="J18" i="3"/>
  <c r="J19" i="3"/>
  <c r="J20" i="3"/>
  <c r="J21" i="3"/>
  <c r="J22" i="3"/>
  <c r="J23" i="3"/>
  <c r="J24" i="3"/>
  <c r="J26" i="3"/>
  <c r="J27" i="3"/>
  <c r="J28" i="3"/>
  <c r="J29" i="3"/>
  <c r="J30" i="3"/>
  <c r="J31" i="3"/>
  <c r="J32" i="3"/>
  <c r="J33" i="3"/>
  <c r="J34" i="3"/>
  <c r="J35" i="3"/>
  <c r="J36"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70" i="3"/>
  <c r="J71" i="3"/>
  <c r="J72" i="3"/>
  <c r="J73" i="3"/>
  <c r="J74" i="3"/>
  <c r="J75" i="3"/>
  <c r="J76" i="3"/>
  <c r="J77" i="3"/>
  <c r="J78" i="3"/>
  <c r="J79" i="3"/>
  <c r="J80" i="3"/>
  <c r="J81" i="3"/>
  <c r="J82" i="3"/>
  <c r="J83" i="3"/>
  <c r="J84" i="3"/>
  <c r="J85" i="3"/>
  <c r="J86" i="3"/>
  <c r="J87" i="3"/>
  <c r="J88" i="3"/>
  <c r="J89"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9" i="3"/>
  <c r="J150" i="3"/>
  <c r="J151" i="3"/>
  <c r="J152" i="3"/>
  <c r="J153" i="3"/>
  <c r="J154" i="3"/>
  <c r="J155" i="3"/>
  <c r="J156"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6" i="3"/>
  <c r="J207" i="3"/>
  <c r="J208" i="3"/>
  <c r="J210" i="3"/>
  <c r="J211" i="3"/>
  <c r="J212" i="3"/>
  <c r="J213" i="3"/>
  <c r="J214" i="3"/>
  <c r="J215" i="3"/>
  <c r="J216" i="3"/>
  <c r="J217" i="3"/>
  <c r="J218" i="3"/>
  <c r="J219" i="3"/>
  <c r="J220" i="3"/>
  <c r="J221" i="3"/>
  <c r="J222" i="3"/>
  <c r="J223" i="3"/>
  <c r="J224" i="3"/>
  <c r="J225" i="3"/>
  <c r="J226" i="3"/>
  <c r="J228" i="3"/>
  <c r="J229" i="3"/>
  <c r="J230" i="3"/>
  <c r="J231" i="3"/>
  <c r="J232" i="3"/>
  <c r="J233" i="3"/>
  <c r="J234" i="3"/>
  <c r="J235" i="3"/>
  <c r="J236" i="3"/>
  <c r="J237" i="3"/>
  <c r="J238" i="3"/>
  <c r="J239" i="3"/>
  <c r="J240" i="3"/>
  <c r="J241" i="3"/>
  <c r="J243" i="3"/>
  <c r="J244" i="3"/>
  <c r="J245" i="3"/>
  <c r="J246" i="3"/>
  <c r="J247" i="3"/>
  <c r="J250" i="3"/>
  <c r="J251" i="3"/>
  <c r="J252" i="3"/>
  <c r="J254" i="3"/>
  <c r="J255" i="3"/>
  <c r="J256" i="3"/>
  <c r="J257" i="3"/>
  <c r="J258" i="3"/>
  <c r="J259" i="3"/>
  <c r="J260" i="3"/>
  <c r="J262" i="3"/>
  <c r="J263" i="3"/>
  <c r="J264" i="3"/>
  <c r="J265" i="3"/>
  <c r="J266" i="3"/>
  <c r="J267" i="3"/>
  <c r="J268" i="3"/>
  <c r="J269"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I3" i="3"/>
  <c r="I4" i="3"/>
  <c r="I5" i="3"/>
  <c r="I6" i="3"/>
  <c r="I7" i="3"/>
  <c r="I8" i="3"/>
  <c r="I9" i="3"/>
  <c r="I10" i="3"/>
  <c r="I11" i="3"/>
  <c r="I12" i="3"/>
  <c r="I13" i="3"/>
  <c r="I14" i="3"/>
  <c r="I15" i="3"/>
  <c r="I18" i="3"/>
  <c r="I19" i="3"/>
  <c r="I20" i="3"/>
  <c r="I21" i="3"/>
  <c r="I22" i="3"/>
  <c r="I23" i="3"/>
  <c r="I24" i="3"/>
  <c r="I26" i="3"/>
  <c r="I27" i="3"/>
  <c r="I28" i="3"/>
  <c r="I29" i="3"/>
  <c r="I30" i="3"/>
  <c r="I31" i="3"/>
  <c r="I32" i="3"/>
  <c r="I33" i="3"/>
  <c r="I34" i="3"/>
  <c r="I35" i="3"/>
  <c r="I36"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70" i="3"/>
  <c r="I71" i="3"/>
  <c r="I72" i="3"/>
  <c r="I73" i="3"/>
  <c r="I74" i="3"/>
  <c r="I75" i="3"/>
  <c r="I76" i="3"/>
  <c r="I77" i="3"/>
  <c r="I78" i="3"/>
  <c r="I79" i="3"/>
  <c r="I80" i="3"/>
  <c r="I81" i="3"/>
  <c r="I82" i="3"/>
  <c r="I83" i="3"/>
  <c r="I84" i="3"/>
  <c r="I85" i="3"/>
  <c r="I86" i="3"/>
  <c r="I87" i="3"/>
  <c r="I88" i="3"/>
  <c r="I89"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9" i="3"/>
  <c r="I150" i="3"/>
  <c r="I151" i="3"/>
  <c r="I152" i="3"/>
  <c r="I153" i="3"/>
  <c r="I154" i="3"/>
  <c r="I155" i="3"/>
  <c r="I156"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6" i="3"/>
  <c r="I207" i="3"/>
  <c r="I208" i="3"/>
  <c r="I210" i="3"/>
  <c r="I211" i="3"/>
  <c r="I212" i="3"/>
  <c r="I213" i="3"/>
  <c r="I214" i="3"/>
  <c r="I215" i="3"/>
  <c r="I216" i="3"/>
  <c r="I217" i="3"/>
  <c r="I218" i="3"/>
  <c r="I219" i="3"/>
  <c r="I220" i="3"/>
  <c r="I221" i="3"/>
  <c r="I222" i="3"/>
  <c r="I223" i="3"/>
  <c r="I224" i="3"/>
  <c r="I225" i="3"/>
  <c r="I226" i="3"/>
  <c r="I228" i="3"/>
  <c r="I229" i="3"/>
  <c r="I230" i="3"/>
  <c r="I231" i="3"/>
  <c r="I232" i="3"/>
  <c r="I233" i="3"/>
  <c r="I234" i="3"/>
  <c r="I235" i="3"/>
  <c r="I236" i="3"/>
  <c r="I237" i="3"/>
  <c r="I238" i="3"/>
  <c r="I239" i="3"/>
  <c r="I240" i="3"/>
  <c r="I241" i="3"/>
  <c r="I243" i="3"/>
  <c r="I244" i="3"/>
  <c r="I245" i="3"/>
  <c r="I246" i="3"/>
  <c r="I247" i="3"/>
  <c r="I250" i="3"/>
  <c r="I251" i="3"/>
  <c r="I252" i="3"/>
  <c r="I254" i="3"/>
  <c r="I255" i="3"/>
  <c r="I256" i="3"/>
  <c r="I257" i="3"/>
  <c r="I258" i="3"/>
  <c r="I259" i="3"/>
  <c r="I260" i="3"/>
  <c r="I262" i="3"/>
  <c r="I263" i="3"/>
  <c r="I264" i="3"/>
  <c r="I265" i="3"/>
  <c r="I266" i="3"/>
  <c r="I267" i="3"/>
  <c r="I268" i="3"/>
  <c r="I269"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H3" i="3"/>
  <c r="H4" i="3"/>
  <c r="H5" i="3"/>
  <c r="H6" i="3"/>
  <c r="H7" i="3"/>
  <c r="H8" i="3"/>
  <c r="H9" i="3"/>
  <c r="H10" i="3"/>
  <c r="H11" i="3"/>
  <c r="H12" i="3"/>
  <c r="H13" i="3"/>
  <c r="H14" i="3"/>
  <c r="H15" i="3"/>
  <c r="H18" i="3"/>
  <c r="H19" i="3"/>
  <c r="H20" i="3"/>
  <c r="H21" i="3"/>
  <c r="H22" i="3"/>
  <c r="H23" i="3"/>
  <c r="H24" i="3"/>
  <c r="H26" i="3"/>
  <c r="H27" i="3"/>
  <c r="H28" i="3"/>
  <c r="H29" i="3"/>
  <c r="H30" i="3"/>
  <c r="H31" i="3"/>
  <c r="H32" i="3"/>
  <c r="H33" i="3"/>
  <c r="H34" i="3"/>
  <c r="H35" i="3"/>
  <c r="H36"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70" i="3"/>
  <c r="H71" i="3"/>
  <c r="H72" i="3"/>
  <c r="H73" i="3"/>
  <c r="H74" i="3"/>
  <c r="H75" i="3"/>
  <c r="H76" i="3"/>
  <c r="H77" i="3"/>
  <c r="H78" i="3"/>
  <c r="H79" i="3"/>
  <c r="H80" i="3"/>
  <c r="H81" i="3"/>
  <c r="H82" i="3"/>
  <c r="H83" i="3"/>
  <c r="H84" i="3"/>
  <c r="H85" i="3"/>
  <c r="H86" i="3"/>
  <c r="H87" i="3"/>
  <c r="H88" i="3"/>
  <c r="H89"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9" i="3"/>
  <c r="H150" i="3"/>
  <c r="H151" i="3"/>
  <c r="H152" i="3"/>
  <c r="H153" i="3"/>
  <c r="H154" i="3"/>
  <c r="H155" i="3"/>
  <c r="H156"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6" i="3"/>
  <c r="H207" i="3"/>
  <c r="H208" i="3"/>
  <c r="H210" i="3"/>
  <c r="H211" i="3"/>
  <c r="H212" i="3"/>
  <c r="H213" i="3"/>
  <c r="H214" i="3"/>
  <c r="H215" i="3"/>
  <c r="H216" i="3"/>
  <c r="H217" i="3"/>
  <c r="H218" i="3"/>
  <c r="H219" i="3"/>
  <c r="H220" i="3"/>
  <c r="H221" i="3"/>
  <c r="H222" i="3"/>
  <c r="H223" i="3"/>
  <c r="H224" i="3"/>
  <c r="H225" i="3"/>
  <c r="H226" i="3"/>
  <c r="H228" i="3"/>
  <c r="H229" i="3"/>
  <c r="H230" i="3"/>
  <c r="H231" i="3"/>
  <c r="H232" i="3"/>
  <c r="H233" i="3"/>
  <c r="H234" i="3"/>
  <c r="H235" i="3"/>
  <c r="H236" i="3"/>
  <c r="H237" i="3"/>
  <c r="H238" i="3"/>
  <c r="H239" i="3"/>
  <c r="H240" i="3"/>
  <c r="H241" i="3"/>
  <c r="H243" i="3"/>
  <c r="H244" i="3"/>
  <c r="H245" i="3"/>
  <c r="H246" i="3"/>
  <c r="H247" i="3"/>
  <c r="H250" i="3"/>
  <c r="H251" i="3"/>
  <c r="H252" i="3"/>
  <c r="H254" i="3"/>
  <c r="H255" i="3"/>
  <c r="H256" i="3"/>
  <c r="H257" i="3"/>
  <c r="H258" i="3"/>
  <c r="H259" i="3"/>
  <c r="H260" i="3"/>
  <c r="H262" i="3"/>
  <c r="H263" i="3"/>
  <c r="H264" i="3"/>
  <c r="H265" i="3"/>
  <c r="H266" i="3"/>
  <c r="H267" i="3"/>
  <c r="H268" i="3"/>
  <c r="H269"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G4" i="3"/>
  <c r="G5" i="3"/>
  <c r="G6" i="3"/>
  <c r="G7" i="3"/>
  <c r="G8" i="3"/>
  <c r="G9" i="3"/>
  <c r="G10" i="3"/>
  <c r="G11" i="3"/>
  <c r="G12" i="3"/>
  <c r="G13" i="3"/>
  <c r="G14" i="3"/>
  <c r="G15" i="3"/>
  <c r="G16" i="3"/>
  <c r="G19" i="3"/>
  <c r="G20" i="3"/>
  <c r="G21" i="3"/>
  <c r="G22" i="3"/>
  <c r="G23" i="3"/>
  <c r="G24" i="3"/>
  <c r="G25" i="3"/>
  <c r="G27" i="3"/>
  <c r="G28" i="3"/>
  <c r="G29" i="3"/>
  <c r="G30" i="3"/>
  <c r="G31" i="3"/>
  <c r="G32" i="3"/>
  <c r="G33" i="3"/>
  <c r="G34" i="3"/>
  <c r="G35" i="3"/>
  <c r="G36" i="3"/>
  <c r="G37"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1" i="3"/>
  <c r="G72" i="3"/>
  <c r="G73" i="3"/>
  <c r="G74" i="3"/>
  <c r="G75" i="3"/>
  <c r="G76" i="3"/>
  <c r="G77" i="3"/>
  <c r="G78" i="3"/>
  <c r="G79" i="3"/>
  <c r="G80" i="3"/>
  <c r="G81" i="3"/>
  <c r="G82" i="3"/>
  <c r="G83" i="3"/>
  <c r="G84" i="3"/>
  <c r="G85" i="3"/>
  <c r="G86" i="3"/>
  <c r="G87" i="3"/>
  <c r="G88" i="3"/>
  <c r="G89" i="3"/>
  <c r="G90"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50" i="3"/>
  <c r="G151" i="3"/>
  <c r="G152" i="3"/>
  <c r="G153" i="3"/>
  <c r="G154" i="3"/>
  <c r="G155" i="3"/>
  <c r="G156" i="3"/>
  <c r="G157"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7" i="3"/>
  <c r="G208" i="3"/>
  <c r="G209" i="3"/>
  <c r="G211" i="3"/>
  <c r="G212" i="3"/>
  <c r="G213" i="3"/>
  <c r="G214" i="3"/>
  <c r="G215" i="3"/>
  <c r="G216" i="3"/>
  <c r="G217" i="3"/>
  <c r="G218" i="3"/>
  <c r="G219" i="3"/>
  <c r="G220" i="3"/>
  <c r="G221" i="3"/>
  <c r="G222" i="3"/>
  <c r="G223" i="3"/>
  <c r="G224" i="3"/>
  <c r="G225" i="3"/>
  <c r="G226" i="3"/>
  <c r="G227" i="3"/>
  <c r="G229" i="3"/>
  <c r="G230" i="3"/>
  <c r="G231" i="3"/>
  <c r="G232" i="3"/>
  <c r="G233" i="3"/>
  <c r="G234" i="3"/>
  <c r="G235" i="3"/>
  <c r="G236" i="3"/>
  <c r="G237" i="3"/>
  <c r="G238" i="3"/>
  <c r="G239" i="3"/>
  <c r="G240" i="3"/>
  <c r="G241" i="3"/>
  <c r="G242" i="3"/>
  <c r="G244" i="3"/>
  <c r="G245" i="3"/>
  <c r="G246" i="3"/>
  <c r="G247" i="3"/>
  <c r="G248" i="3"/>
  <c r="G251" i="3"/>
  <c r="G252" i="3"/>
  <c r="G253" i="3"/>
  <c r="G255" i="3"/>
  <c r="G256" i="3"/>
  <c r="G257" i="3"/>
  <c r="G258" i="3"/>
  <c r="G259" i="3"/>
  <c r="G260" i="3"/>
  <c r="G261" i="3"/>
  <c r="G263" i="3"/>
  <c r="G264" i="3"/>
  <c r="G265" i="3"/>
  <c r="G266" i="3"/>
  <c r="G267" i="3"/>
  <c r="G268" i="3"/>
  <c r="G269" i="3"/>
  <c r="G270"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 i="3"/>
  <c r="F3" i="3"/>
  <c r="F4" i="3"/>
  <c r="F5" i="3"/>
  <c r="F6" i="3"/>
  <c r="F7" i="3"/>
  <c r="F8" i="3"/>
  <c r="F9" i="3"/>
  <c r="F10" i="3"/>
  <c r="F11" i="3"/>
  <c r="F12" i="3"/>
  <c r="F13" i="3"/>
  <c r="F14" i="3"/>
  <c r="F15" i="3"/>
  <c r="F16" i="3"/>
  <c r="F19" i="3"/>
  <c r="F20" i="3"/>
  <c r="F21" i="3"/>
  <c r="F22" i="3"/>
  <c r="F23" i="3"/>
  <c r="F24" i="3"/>
  <c r="F25" i="3"/>
  <c r="F27" i="3"/>
  <c r="F28" i="3"/>
  <c r="F29" i="3"/>
  <c r="F30" i="3"/>
  <c r="F31" i="3"/>
  <c r="F32" i="3"/>
  <c r="F33" i="3"/>
  <c r="F34" i="3"/>
  <c r="F35" i="3"/>
  <c r="F36" i="3"/>
  <c r="F37"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1" i="3"/>
  <c r="F72" i="3"/>
  <c r="F73" i="3"/>
  <c r="F74" i="3"/>
  <c r="F75" i="3"/>
  <c r="F76" i="3"/>
  <c r="F77" i="3"/>
  <c r="F78" i="3"/>
  <c r="F79" i="3"/>
  <c r="F80" i="3"/>
  <c r="F81" i="3"/>
  <c r="F82" i="3"/>
  <c r="F83" i="3"/>
  <c r="F84" i="3"/>
  <c r="F85" i="3"/>
  <c r="F86" i="3"/>
  <c r="F87" i="3"/>
  <c r="F88" i="3"/>
  <c r="F89" i="3"/>
  <c r="F90"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50" i="3"/>
  <c r="F151" i="3"/>
  <c r="F152" i="3"/>
  <c r="F153" i="3"/>
  <c r="F154" i="3"/>
  <c r="F155" i="3"/>
  <c r="F156" i="3"/>
  <c r="F157"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4" i="3"/>
  <c r="F245" i="3"/>
  <c r="F246" i="3"/>
  <c r="F247" i="3"/>
  <c r="F248" i="3"/>
  <c r="F251" i="3"/>
  <c r="F252" i="3"/>
  <c r="F253" i="3"/>
  <c r="F254" i="3"/>
  <c r="F255" i="3"/>
  <c r="F256" i="3"/>
  <c r="F257" i="3"/>
  <c r="F258" i="3"/>
  <c r="F259" i="3"/>
  <c r="F260" i="3"/>
  <c r="F261" i="3"/>
  <c r="F263" i="3"/>
  <c r="F264" i="3"/>
  <c r="F265" i="3"/>
  <c r="F266" i="3"/>
  <c r="F267" i="3"/>
  <c r="F268" i="3"/>
  <c r="F269" i="3"/>
  <c r="F270"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E3" i="3"/>
  <c r="E4" i="3"/>
  <c r="E5" i="3"/>
  <c r="E6" i="3"/>
  <c r="E7" i="3"/>
  <c r="E8" i="3"/>
  <c r="E9" i="3"/>
  <c r="E10" i="3"/>
  <c r="E11" i="3"/>
  <c r="E12" i="3"/>
  <c r="E13" i="3"/>
  <c r="E14" i="3"/>
  <c r="E15" i="3"/>
  <c r="E16" i="3"/>
  <c r="E18" i="3"/>
  <c r="E19" i="3"/>
  <c r="E20" i="3"/>
  <c r="E21" i="3"/>
  <c r="E22" i="3"/>
  <c r="E23" i="3"/>
  <c r="E24" i="3"/>
  <c r="E25" i="3"/>
  <c r="E27" i="3"/>
  <c r="E28" i="3"/>
  <c r="E29" i="3"/>
  <c r="E30" i="3"/>
  <c r="E31" i="3"/>
  <c r="E32" i="3"/>
  <c r="E33" i="3"/>
  <c r="E34" i="3"/>
  <c r="E35" i="3"/>
  <c r="E36" i="3"/>
  <c r="E37"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1" i="3"/>
  <c r="E72" i="3"/>
  <c r="E73" i="3"/>
  <c r="E74" i="3"/>
  <c r="E75" i="3"/>
  <c r="E76" i="3"/>
  <c r="E77" i="3"/>
  <c r="E78" i="3"/>
  <c r="E79" i="3"/>
  <c r="E80" i="3"/>
  <c r="E81" i="3"/>
  <c r="E82" i="3"/>
  <c r="E83" i="3"/>
  <c r="E84" i="3"/>
  <c r="E85" i="3"/>
  <c r="E86" i="3"/>
  <c r="E87" i="3"/>
  <c r="E88" i="3"/>
  <c r="E89" i="3"/>
  <c r="E90"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50" i="3"/>
  <c r="E151" i="3"/>
  <c r="E152" i="3"/>
  <c r="E153" i="3"/>
  <c r="E154" i="3"/>
  <c r="E155" i="3"/>
  <c r="E156" i="3"/>
  <c r="E157"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7" i="3"/>
  <c r="E208" i="3"/>
  <c r="E209" i="3"/>
  <c r="E211" i="3"/>
  <c r="E212" i="3"/>
  <c r="E213" i="3"/>
  <c r="E214" i="3"/>
  <c r="E215" i="3"/>
  <c r="E216" i="3"/>
  <c r="E217" i="3"/>
  <c r="E218" i="3"/>
  <c r="E219" i="3"/>
  <c r="E220" i="3"/>
  <c r="E221" i="3"/>
  <c r="E222" i="3"/>
  <c r="E223" i="3"/>
  <c r="E224" i="3"/>
  <c r="E225" i="3"/>
  <c r="E226" i="3"/>
  <c r="E227" i="3"/>
  <c r="E229" i="3"/>
  <c r="E230" i="3"/>
  <c r="E231" i="3"/>
  <c r="E232" i="3"/>
  <c r="E233" i="3"/>
  <c r="E234" i="3"/>
  <c r="E235" i="3"/>
  <c r="E236" i="3"/>
  <c r="E237" i="3"/>
  <c r="E238" i="3"/>
  <c r="E239" i="3"/>
  <c r="E240" i="3"/>
  <c r="E241" i="3"/>
  <c r="E242" i="3"/>
  <c r="E244" i="3"/>
  <c r="E245" i="3"/>
  <c r="E246" i="3"/>
  <c r="E247" i="3"/>
  <c r="E248" i="3"/>
  <c r="E251" i="3"/>
  <c r="E252" i="3"/>
  <c r="E253" i="3"/>
  <c r="E255" i="3"/>
  <c r="E256" i="3"/>
  <c r="E257" i="3"/>
  <c r="E258" i="3"/>
  <c r="E259" i="3"/>
  <c r="E260" i="3"/>
  <c r="E261" i="3"/>
  <c r="E263" i="3"/>
  <c r="E264" i="3"/>
  <c r="E265" i="3"/>
  <c r="E266" i="3"/>
  <c r="E267" i="3"/>
  <c r="E268" i="3"/>
  <c r="E269" i="3"/>
  <c r="E270"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D3" i="3"/>
  <c r="D4" i="3"/>
  <c r="D5" i="3"/>
  <c r="D6" i="3"/>
  <c r="D7" i="3"/>
  <c r="D8" i="3"/>
  <c r="D9" i="3"/>
  <c r="D10" i="3"/>
  <c r="D11" i="3"/>
  <c r="D12" i="3"/>
  <c r="D13" i="3"/>
  <c r="D14" i="3"/>
  <c r="D15" i="3"/>
  <c r="D16" i="3"/>
  <c r="D17" i="3"/>
  <c r="D18" i="3"/>
  <c r="D19" i="3"/>
  <c r="D20" i="3"/>
  <c r="D21" i="3"/>
  <c r="D22" i="3"/>
  <c r="D23" i="3"/>
  <c r="D24" i="3"/>
  <c r="D25"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7" i="3"/>
  <c r="D208" i="3"/>
  <c r="D209"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4" i="3"/>
  <c r="D245" i="3"/>
  <c r="D246" i="3"/>
  <c r="D247" i="3"/>
  <c r="D248" i="3"/>
  <c r="D250" i="3"/>
  <c r="D251" i="3"/>
  <c r="D252" i="3"/>
  <c r="D253"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59" i="2"/>
  <c r="F271" i="3" s="1"/>
  <c r="C59" i="2"/>
  <c r="E271" i="3" s="1"/>
  <c r="H56" i="2"/>
  <c r="J253" i="3" s="1"/>
  <c r="G56" i="2"/>
  <c r="I253" i="3" s="1"/>
  <c r="F56" i="2"/>
  <c r="H253" i="3" s="1"/>
  <c r="B54" i="2"/>
  <c r="B53" i="2"/>
  <c r="D249" i="3" s="1"/>
  <c r="H52" i="2"/>
  <c r="G52" i="2"/>
  <c r="F52" i="2"/>
  <c r="E52" i="2"/>
  <c r="D52" i="2"/>
  <c r="C52" i="2"/>
  <c r="B52" i="2"/>
  <c r="H51" i="2"/>
  <c r="J242" i="3" s="1"/>
  <c r="G51" i="2"/>
  <c r="I242" i="3" s="1"/>
  <c r="F51" i="2"/>
  <c r="H242" i="3" s="1"/>
  <c r="E51" i="2"/>
  <c r="G243" i="3" s="1"/>
  <c r="D51" i="2"/>
  <c r="F243" i="3" s="1"/>
  <c r="C51" i="2"/>
  <c r="E243" i="3" s="1"/>
  <c r="B51" i="2"/>
  <c r="D243" i="3" s="1"/>
  <c r="H50" i="2"/>
  <c r="J227" i="3" s="1"/>
  <c r="G50" i="2"/>
  <c r="I227" i="3" s="1"/>
  <c r="F50" i="2"/>
  <c r="H227" i="3" s="1"/>
  <c r="E50" i="2"/>
  <c r="G228" i="3" s="1"/>
  <c r="D50" i="2"/>
  <c r="C50" i="2"/>
  <c r="E228" i="3" s="1"/>
  <c r="G49" i="2"/>
  <c r="G54" i="2" s="1"/>
  <c r="I249" i="3" s="1"/>
  <c r="F48" i="2"/>
  <c r="E48" i="2"/>
  <c r="D48" i="2"/>
  <c r="B46" i="2"/>
  <c r="H45" i="2"/>
  <c r="H60" i="2" s="1"/>
  <c r="G45" i="2"/>
  <c r="G60" i="2" s="1"/>
  <c r="F45" i="2"/>
  <c r="F60" i="2" s="1"/>
  <c r="E45" i="2"/>
  <c r="E29" i="2" s="1"/>
  <c r="D45" i="2"/>
  <c r="D56" i="2" s="1"/>
  <c r="C45" i="2"/>
  <c r="C56" i="2" s="1"/>
  <c r="E254" i="3" s="1"/>
  <c r="B45" i="2"/>
  <c r="B56" i="2" s="1"/>
  <c r="D254" i="3" s="1"/>
  <c r="B43" i="2"/>
  <c r="E42" i="2"/>
  <c r="B42" i="2"/>
  <c r="H41" i="2"/>
  <c r="G41" i="2"/>
  <c r="F41" i="2"/>
  <c r="F23" i="2" s="1"/>
  <c r="E41" i="2"/>
  <c r="D41" i="2"/>
  <c r="D23" i="2" s="1"/>
  <c r="C41" i="2"/>
  <c r="C23" i="2" s="1"/>
  <c r="B41" i="2"/>
  <c r="B23" i="2" s="1"/>
  <c r="H40" i="2"/>
  <c r="J157" i="3" s="1"/>
  <c r="G40" i="2"/>
  <c r="I157" i="3" s="1"/>
  <c r="F40" i="2"/>
  <c r="H157" i="3" s="1"/>
  <c r="E40" i="2"/>
  <c r="G158" i="3" s="1"/>
  <c r="D40" i="2"/>
  <c r="F158" i="3" s="1"/>
  <c r="C40" i="2"/>
  <c r="E158" i="3" s="1"/>
  <c r="H39" i="2"/>
  <c r="J148" i="3" s="1"/>
  <c r="G39" i="2"/>
  <c r="I148" i="3" s="1"/>
  <c r="F39" i="2"/>
  <c r="H148" i="3" s="1"/>
  <c r="E39" i="2"/>
  <c r="G149" i="3" s="1"/>
  <c r="D39" i="2"/>
  <c r="F149" i="3" s="1"/>
  <c r="C39" i="2"/>
  <c r="E149" i="3" s="1"/>
  <c r="H38" i="2"/>
  <c r="G38" i="2"/>
  <c r="F38" i="2"/>
  <c r="E38" i="2"/>
  <c r="D38" i="2"/>
  <c r="C38" i="2"/>
  <c r="B37" i="2"/>
  <c r="H36" i="2"/>
  <c r="H58" i="2" s="1"/>
  <c r="J261" i="3" s="1"/>
  <c r="G36" i="2"/>
  <c r="G58" i="2" s="1"/>
  <c r="I261" i="3" s="1"/>
  <c r="F36" i="2"/>
  <c r="F58" i="2" s="1"/>
  <c r="H261" i="3" s="1"/>
  <c r="E36" i="2"/>
  <c r="E58" i="2" s="1"/>
  <c r="G262" i="3" s="1"/>
  <c r="D36" i="2"/>
  <c r="D58" i="2" s="1"/>
  <c r="F262" i="3" s="1"/>
  <c r="C36" i="2"/>
  <c r="C58" i="2" s="1"/>
  <c r="E262" i="3" s="1"/>
  <c r="B36" i="2"/>
  <c r="B58" i="2" s="1"/>
  <c r="E35" i="2"/>
  <c r="G91" i="3" s="1"/>
  <c r="C35" i="2"/>
  <c r="E91" i="3" s="1"/>
  <c r="H34" i="2"/>
  <c r="H48" i="2" s="1"/>
  <c r="G34" i="2"/>
  <c r="G48" i="2" s="1"/>
  <c r="F34" i="2"/>
  <c r="E34" i="2"/>
  <c r="D34" i="2"/>
  <c r="C34" i="2"/>
  <c r="C48" i="2" s="1"/>
  <c r="B34" i="2"/>
  <c r="B48" i="2" s="1"/>
  <c r="B33" i="2"/>
  <c r="G32" i="2"/>
  <c r="F32" i="2"/>
  <c r="E31" i="2"/>
  <c r="B31" i="2"/>
  <c r="C30" i="2"/>
  <c r="B30" i="2"/>
  <c r="H29" i="2"/>
  <c r="G29" i="2"/>
  <c r="H28" i="2"/>
  <c r="J37" i="3" s="1"/>
  <c r="G28" i="2"/>
  <c r="I37" i="3" s="1"/>
  <c r="C28" i="2"/>
  <c r="E38" i="3" s="1"/>
  <c r="H27" i="2"/>
  <c r="J25" i="3" s="1"/>
  <c r="C27" i="2"/>
  <c r="E26" i="3" s="1"/>
  <c r="B27" i="2"/>
  <c r="D26" i="3" s="1"/>
  <c r="E26" i="2"/>
  <c r="E46" i="2" s="1"/>
  <c r="H25" i="2"/>
  <c r="H26" i="2" s="1"/>
  <c r="G25" i="2"/>
  <c r="G26" i="2" s="1"/>
  <c r="F25" i="2"/>
  <c r="F26" i="2" s="1"/>
  <c r="E25" i="2"/>
  <c r="G18" i="3" s="1"/>
  <c r="D25" i="2"/>
  <c r="D26" i="2" s="1"/>
  <c r="C25" i="2"/>
  <c r="C26" i="2" s="1"/>
  <c r="H24" i="2"/>
  <c r="J16" i="3" s="1"/>
  <c r="G24" i="2"/>
  <c r="I16" i="3" s="1"/>
  <c r="F24" i="2"/>
  <c r="H16" i="3" s="1"/>
  <c r="E24" i="2"/>
  <c r="G17" i="3" s="1"/>
  <c r="D24" i="2"/>
  <c r="F17" i="3" s="1"/>
  <c r="C24" i="2"/>
  <c r="E17" i="3" s="1"/>
  <c r="H23" i="2"/>
  <c r="G23" i="2"/>
  <c r="E23" i="2"/>
  <c r="H5" i="2"/>
  <c r="H59" i="2" s="1"/>
  <c r="J270" i="3" s="1"/>
  <c r="G5" i="2"/>
  <c r="G59" i="2" s="1"/>
  <c r="I270" i="3" s="1"/>
  <c r="F5" i="2"/>
  <c r="F59" i="2" s="1"/>
  <c r="H270" i="3" s="1"/>
  <c r="E5" i="2"/>
  <c r="E59" i="2" s="1"/>
  <c r="G271" i="3" s="1"/>
  <c r="D46" i="2" l="1"/>
  <c r="D31" i="2"/>
  <c r="J205" i="3"/>
  <c r="D27" i="2"/>
  <c r="F26" i="3" s="1"/>
  <c r="I17" i="3"/>
  <c r="D30" i="2"/>
  <c r="D206" i="3"/>
  <c r="F18" i="3"/>
  <c r="F27" i="2"/>
  <c r="H25" i="3" s="1"/>
  <c r="G30" i="2"/>
  <c r="G206" i="3"/>
  <c r="G27" i="2"/>
  <c r="I25" i="3" s="1"/>
  <c r="E27" i="2"/>
  <c r="G26" i="3" s="1"/>
  <c r="D47" i="2"/>
  <c r="F210" i="3" s="1"/>
  <c r="E60" i="2"/>
  <c r="I205" i="3"/>
  <c r="H17" i="3"/>
  <c r="D35" i="2"/>
  <c r="F91" i="3" s="1"/>
  <c r="J17" i="3"/>
  <c r="F29" i="2"/>
  <c r="E33" i="2"/>
  <c r="G70" i="3" s="1"/>
  <c r="F49" i="2"/>
  <c r="F54" i="2" s="1"/>
  <c r="H249" i="3" s="1"/>
  <c r="E56" i="2"/>
  <c r="G254" i="3" s="1"/>
  <c r="E206" i="3"/>
  <c r="H205" i="3"/>
  <c r="G43" i="2"/>
  <c r="G37" i="2"/>
  <c r="G53" i="2"/>
  <c r="I248" i="3" s="1"/>
  <c r="G42" i="2"/>
  <c r="G33" i="2"/>
  <c r="I69" i="3" s="1"/>
  <c r="G31" i="2"/>
  <c r="G46" i="2"/>
  <c r="H37" i="2"/>
  <c r="H42" i="2"/>
  <c r="H33" i="2"/>
  <c r="J69" i="3" s="1"/>
  <c r="H43" i="2"/>
  <c r="H31" i="2"/>
  <c r="H46" i="2"/>
  <c r="H53" i="2"/>
  <c r="J248" i="3" s="1"/>
  <c r="F53" i="2"/>
  <c r="H248" i="3" s="1"/>
  <c r="F46" i="2"/>
  <c r="F43" i="2"/>
  <c r="F37" i="2"/>
  <c r="F42" i="2"/>
  <c r="F33" i="2"/>
  <c r="H69" i="3" s="1"/>
  <c r="F31" i="2"/>
  <c r="C31" i="2"/>
  <c r="C46" i="2"/>
  <c r="C53" i="2"/>
  <c r="E249" i="3" s="1"/>
  <c r="C33" i="2"/>
  <c r="E70" i="3" s="1"/>
  <c r="C43" i="2"/>
  <c r="C37" i="2"/>
  <c r="C42" i="2"/>
  <c r="D33" i="2"/>
  <c r="F70" i="3" s="1"/>
  <c r="B35" i="2"/>
  <c r="D91" i="3" s="1"/>
  <c r="D42" i="2"/>
  <c r="B47" i="2"/>
  <c r="D210" i="3" s="1"/>
  <c r="D28" i="2"/>
  <c r="F38" i="3" s="1"/>
  <c r="C47" i="2"/>
  <c r="E210" i="3" s="1"/>
  <c r="E28" i="2"/>
  <c r="G38" i="3" s="1"/>
  <c r="C32" i="2"/>
  <c r="F35" i="2"/>
  <c r="H90" i="3" s="1"/>
  <c r="D37" i="2"/>
  <c r="C49" i="2"/>
  <c r="C54" i="2" s="1"/>
  <c r="E250" i="3" s="1"/>
  <c r="B60" i="2"/>
  <c r="F28" i="2"/>
  <c r="H37" i="3" s="1"/>
  <c r="E30" i="2"/>
  <c r="D32" i="2"/>
  <c r="G35" i="2"/>
  <c r="I90" i="3" s="1"/>
  <c r="E37" i="2"/>
  <c r="E47" i="2"/>
  <c r="G210" i="3" s="1"/>
  <c r="D49" i="2"/>
  <c r="D54" i="2" s="1"/>
  <c r="F250" i="3" s="1"/>
  <c r="C60" i="2"/>
  <c r="F30" i="2"/>
  <c r="E32" i="2"/>
  <c r="H35" i="2"/>
  <c r="J90" i="3" s="1"/>
  <c r="F47" i="2"/>
  <c r="H209" i="3" s="1"/>
  <c r="E49" i="2"/>
  <c r="E54" i="2" s="1"/>
  <c r="G250" i="3" s="1"/>
  <c r="D60" i="2"/>
  <c r="D43" i="2"/>
  <c r="G47" i="2"/>
  <c r="I209" i="3" s="1"/>
  <c r="C29" i="2"/>
  <c r="H30" i="2"/>
  <c r="E43" i="2"/>
  <c r="H47" i="2"/>
  <c r="J209" i="3" s="1"/>
  <c r="D53" i="2"/>
  <c r="F249" i="3" s="1"/>
  <c r="D29" i="2"/>
  <c r="H32" i="2"/>
  <c r="H49" i="2"/>
  <c r="H54" i="2" s="1"/>
  <c r="J249" i="3" s="1"/>
  <c r="E53" i="2"/>
  <c r="G249" i="3" s="1"/>
</calcChain>
</file>

<file path=xl/sharedStrings.xml><?xml version="1.0" encoding="utf-8"?>
<sst xmlns="http://schemas.openxmlformats.org/spreadsheetml/2006/main" count="3180" uniqueCount="434">
  <si>
    <t>IPCC Crop types</t>
  </si>
  <si>
    <t>Slope (T)</t>
  </si>
  <si>
    <t>Intercept (T)</t>
  </si>
  <si>
    <t>N content of AG residues</t>
  </si>
  <si>
    <t>RS (T)</t>
  </si>
  <si>
    <t>N BG(T)</t>
  </si>
  <si>
    <t>Generic value</t>
  </si>
  <si>
    <t>Grains</t>
  </si>
  <si>
    <t>Beans &amp; pulses</t>
  </si>
  <si>
    <t>Tubers</t>
  </si>
  <si>
    <t>Root crops</t>
  </si>
  <si>
    <t>N-fixing forages</t>
  </si>
  <si>
    <t>Non-N-fixing forages</t>
  </si>
  <si>
    <t>Maize</t>
  </si>
  <si>
    <t>Wheat</t>
  </si>
  <si>
    <t>Winter wheat</t>
  </si>
  <si>
    <t>Spring wheat</t>
  </si>
  <si>
    <t>Rice</t>
  </si>
  <si>
    <t>Barley</t>
  </si>
  <si>
    <t>Oats</t>
  </si>
  <si>
    <t>Millet</t>
  </si>
  <si>
    <t>Sorghum</t>
  </si>
  <si>
    <t>Rye</t>
  </si>
  <si>
    <t>Soybeans</t>
  </si>
  <si>
    <t>Dry bean</t>
  </si>
  <si>
    <t>Potatoes</t>
  </si>
  <si>
    <t>Peanuts</t>
  </si>
  <si>
    <t>Alfalfa</t>
  </si>
  <si>
    <t>Non-legume hay</t>
  </si>
  <si>
    <t>Perennial grasses</t>
  </si>
  <si>
    <t>Grass-clover mixtures</t>
  </si>
  <si>
    <t>FAO crops</t>
  </si>
  <si>
    <t>Dry matter fraction harvested product</t>
  </si>
  <si>
    <t>Slope</t>
  </si>
  <si>
    <t>Intercept</t>
  </si>
  <si>
    <t>Rag</t>
  </si>
  <si>
    <t>Rs</t>
  </si>
  <si>
    <t>N content of BG residues</t>
  </si>
  <si>
    <t>Bambara beans</t>
  </si>
  <si>
    <t>Beans, dry</t>
  </si>
  <si>
    <t>Broad beans, horse beans, dry</t>
  </si>
  <si>
    <t>Buckwheat</t>
  </si>
  <si>
    <t>Carrots and turnips</t>
  </si>
  <si>
    <t>Cassava</t>
  </si>
  <si>
    <t>Cereals</t>
  </si>
  <si>
    <t>Chick peas</t>
  </si>
  <si>
    <t xml:space="preserve">Chicory roots </t>
  </si>
  <si>
    <t>Cow peas, dry</t>
  </si>
  <si>
    <t>Flooded rice</t>
  </si>
  <si>
    <t>Fonio</t>
  </si>
  <si>
    <t>Grain, mixed</t>
  </si>
  <si>
    <t>Lentils</t>
  </si>
  <si>
    <t>Peas, dry</t>
  </si>
  <si>
    <t>Pigeon peas</t>
  </si>
  <si>
    <t>Pineapples</t>
  </si>
  <si>
    <t>Pulses</t>
  </si>
  <si>
    <t>Quinoa</t>
  </si>
  <si>
    <t>Upland rice</t>
  </si>
  <si>
    <t>Roots and tubers</t>
  </si>
  <si>
    <t>String beans</t>
  </si>
  <si>
    <t>Sugar beet</t>
  </si>
  <si>
    <t>Sugar cane</t>
  </si>
  <si>
    <t>Sweet potatoes</t>
  </si>
  <si>
    <t>Taro (cocoyam)</t>
  </si>
  <si>
    <t>Triticale</t>
  </si>
  <si>
    <t>Yautia (cocoyam)</t>
  </si>
  <si>
    <t>Notes: Bambara beans modelled after peanut. Taro, Yautia, carrots and turnips, chicory roots, are modelled after potatoes. Broad beans, horse beans dry, pulses, string beans, Chickpeas, Cow peas, lentils, Peas dry, Pigeon peas modelled after beans &amp; pulses. Grain mixed is modelled after grain</t>
  </si>
  <si>
    <t>Buckwheat, Cereal, fonio, quinoa, triticale modelled after grains. Sugar cane is modeled on perennial grass. Sugar beet is modeled on roots and tubers. Pineapples is modelled after Sugarcane</t>
  </si>
  <si>
    <t xml:space="preserve">Default factors for estimating N from crop residues and forage/pasture renewal </t>
  </si>
  <si>
    <t>Adapted from Table 11.2</t>
  </si>
  <si>
    <t>Table 11.2</t>
  </si>
  <si>
    <t>Generic grains</t>
  </si>
  <si>
    <t>Beans and pulses</t>
  </si>
  <si>
    <t>Potatoes &amp; tubers</t>
  </si>
  <si>
    <t xml:space="preserve">Notes: </t>
  </si>
  <si>
    <t>item</t>
  </si>
  <si>
    <t>ONLINE</t>
  </si>
  <si>
    <t>CROPYIELDSTATS</t>
  </si>
  <si>
    <t>Abaca, manila hemp, raw</t>
  </si>
  <si>
    <t>YES</t>
  </si>
  <si>
    <t>NO</t>
  </si>
  <si>
    <t>Agave fibres, raw, n.e.c.</t>
  </si>
  <si>
    <t>Almonds, in shell</t>
  </si>
  <si>
    <t>Anise, badian, coriander, cumin, caraway, fennel and juniper berries, raw</t>
  </si>
  <si>
    <t>Apples</t>
  </si>
  <si>
    <t>Apricots</t>
  </si>
  <si>
    <t>Areca nuts</t>
  </si>
  <si>
    <t>Artichokes</t>
  </si>
  <si>
    <t>Asparagus</t>
  </si>
  <si>
    <t>Asses</t>
  </si>
  <si>
    <t>Avocados</t>
  </si>
  <si>
    <t>Balata, gutta-percha, guayule, chicle and similar natural gums in primary forms or in plates, sheets or strip</t>
  </si>
  <si>
    <t>Bambara beans, dry</t>
  </si>
  <si>
    <t>Bananas</t>
  </si>
  <si>
    <t>Beer of barley, malted</t>
  </si>
  <si>
    <t>Bees</t>
  </si>
  <si>
    <t>Beeswax</t>
  </si>
  <si>
    <t>Blueberries</t>
  </si>
  <si>
    <t>Brazil nuts, in shell</t>
  </si>
  <si>
    <t>Broad beans and horse beans, dry</t>
  </si>
  <si>
    <t>Broad beans and horse beans, green</t>
  </si>
  <si>
    <t>Buffalo</t>
  </si>
  <si>
    <t>Buffalo fat, unrendered</t>
  </si>
  <si>
    <t>Butter and ghee of sheep milk</t>
  </si>
  <si>
    <t>Butter of buffalo milk</t>
  </si>
  <si>
    <t>Butter of cow milk</t>
  </si>
  <si>
    <t>Butter of goat milk</t>
  </si>
  <si>
    <t>Buttermilk, dry</t>
  </si>
  <si>
    <t>Cabbages</t>
  </si>
  <si>
    <t>Camels</t>
  </si>
  <si>
    <t>Canary seed</t>
  </si>
  <si>
    <t>Cantaloupes and other melons</t>
  </si>
  <si>
    <t>Cashew nuts, in shell</t>
  </si>
  <si>
    <t>Cashewapple</t>
  </si>
  <si>
    <t>Cassava leaves</t>
  </si>
  <si>
    <t>Cassava, fresh</t>
  </si>
  <si>
    <t>Castor oil seeds</t>
  </si>
  <si>
    <t>Cattle</t>
  </si>
  <si>
    <t>Cattle fat, unrendered</t>
  </si>
  <si>
    <t>Cauliflowers and broccoli</t>
  </si>
  <si>
    <t>Cereals n.e.c.</t>
  </si>
  <si>
    <t>Cheese from milk of buffalo, fresh or processed</t>
  </si>
  <si>
    <t>Cheese from milk of goats, fresh or processed</t>
  </si>
  <si>
    <t>Cheese from milk of sheep, fresh or processed</t>
  </si>
  <si>
    <t>Cheese from skimmed cow milk</t>
  </si>
  <si>
    <t>Cheese from whole cow milk</t>
  </si>
  <si>
    <t>Cherries</t>
  </si>
  <si>
    <t>Chestnuts, in shell</t>
  </si>
  <si>
    <t>Chick peas, dry</t>
  </si>
  <si>
    <t>Chickens</t>
  </si>
  <si>
    <t>Chicory roots</t>
  </si>
  <si>
    <t>Chillies and peppers, dry (Capsicum spp., Pimenta spp.), raw</t>
  </si>
  <si>
    <t>Chillies and peppers, green (Capsicum spp. and Pimenta spp.)</t>
  </si>
  <si>
    <t>Cinnamon and cinnamon-tree flowers, raw</t>
  </si>
  <si>
    <t>Cloves (whole stems), raw</t>
  </si>
  <si>
    <t>Cocoa beans</t>
  </si>
  <si>
    <t>Coconut oil</t>
  </si>
  <si>
    <t>Coconuts, in shell</t>
  </si>
  <si>
    <t>Coffee, green</t>
  </si>
  <si>
    <t>Coir, raw</t>
  </si>
  <si>
    <t>Cotton lint, ginned</t>
  </si>
  <si>
    <t>Cotton seed</t>
  </si>
  <si>
    <t>Cottonseed oil</t>
  </si>
  <si>
    <t>Cranberries</t>
  </si>
  <si>
    <t>Cream, fresh</t>
  </si>
  <si>
    <t>Cucumbers and gherkins</t>
  </si>
  <si>
    <t>Currants</t>
  </si>
  <si>
    <t>Dates</t>
  </si>
  <si>
    <t>Ducks</t>
  </si>
  <si>
    <t>Edible offal of buffalo, fresh, chilled or frozen</t>
  </si>
  <si>
    <t>Edible offal of cattle, fresh, chilled or frozen</t>
  </si>
  <si>
    <t>Edible offal of goat, fresh, chilled or frozen</t>
  </si>
  <si>
    <t>Edible offal of pigs, fresh, chilled or frozen</t>
  </si>
  <si>
    <t>Edible offal of sheep, fresh, chilled or frozen</t>
  </si>
  <si>
    <t>Edible offals of camels and other camelids, fresh, chilled or frozen</t>
  </si>
  <si>
    <t>Edible offals of horses and other equines, fresh, chilled or frozen</t>
  </si>
  <si>
    <t>Edible roots and tubers with high starch or inulin content, n.e.c., fresh</t>
  </si>
  <si>
    <t>Eggplants (aubergines)</t>
  </si>
  <si>
    <t>Eggs from other birds in shell, fresh, n.e.c.</t>
  </si>
  <si>
    <t>Fat of camels</t>
  </si>
  <si>
    <t>Fat of pigs</t>
  </si>
  <si>
    <t>Figs</t>
  </si>
  <si>
    <t>Flax, raw or retted</t>
  </si>
  <si>
    <t>Game meat, fresh, chilled or frozen</t>
  </si>
  <si>
    <t>Geese</t>
  </si>
  <si>
    <t>Ghee from buffalo milk</t>
  </si>
  <si>
    <t>Ghee from cow milk</t>
  </si>
  <si>
    <t>Ginger, raw</t>
  </si>
  <si>
    <t>Goat fat, unrendered</t>
  </si>
  <si>
    <t>Goats</t>
  </si>
  <si>
    <t>Gooseberries</t>
  </si>
  <si>
    <t>Grapes</t>
  </si>
  <si>
    <t>Green corn (maize)</t>
  </si>
  <si>
    <t>Green garlic</t>
  </si>
  <si>
    <t>Green tea (not fermented), black tea (fermented) and partly fermented tea, in immediate packings of a content not exceeding 3 kg</t>
  </si>
  <si>
    <t>Groundnut oil</t>
  </si>
  <si>
    <t>Groundnuts, excluding shelled</t>
  </si>
  <si>
    <t>Hazelnuts, in shell</t>
  </si>
  <si>
    <t>Hempseed</t>
  </si>
  <si>
    <t>Hen eggs in shell, fresh</t>
  </si>
  <si>
    <t>Hop cones</t>
  </si>
  <si>
    <t>Horse meat, fresh or chilled</t>
  </si>
  <si>
    <t>Horses</t>
  </si>
  <si>
    <t>Jojoba seeds</t>
  </si>
  <si>
    <t>Jute, raw or retted</t>
  </si>
  <si>
    <t>Kapok fibre, raw</t>
  </si>
  <si>
    <t>Kapok fruit</t>
  </si>
  <si>
    <t>Kapokseed in shell</t>
  </si>
  <si>
    <t>Karite nuts (sheanuts)</t>
  </si>
  <si>
    <t>Kenaf, and other textile bast fibres, raw or retted</t>
  </si>
  <si>
    <t>Kiwi fruit</t>
  </si>
  <si>
    <t>Kola nuts</t>
  </si>
  <si>
    <t>Leeks and other alliaceous vegetables</t>
  </si>
  <si>
    <t>Lemons and limes</t>
  </si>
  <si>
    <t>Lentils, dry</t>
  </si>
  <si>
    <t>Lettuce and chicory</t>
  </si>
  <si>
    <t>Linseed</t>
  </si>
  <si>
    <t>Locust beans (carobs)</t>
  </si>
  <si>
    <t>Lupins</t>
  </si>
  <si>
    <t>Maize (corn)</t>
  </si>
  <si>
    <t>Mangoes, guavas and mangosteens</t>
  </si>
  <si>
    <t>Margarine and shortening</t>
  </si>
  <si>
    <t>MatÃ© leaves</t>
  </si>
  <si>
    <t>Meat of asses, fresh or chilled</t>
  </si>
  <si>
    <t>Meat of buffalo, fresh or chilled</t>
  </si>
  <si>
    <t>Meat of camels, fresh or chilled</t>
  </si>
  <si>
    <t>Meat of cattle with the bone, fresh or chilled</t>
  </si>
  <si>
    <t>Meat of chickens, fresh or chilled</t>
  </si>
  <si>
    <t>Meat of ducks, fresh or chilled</t>
  </si>
  <si>
    <t>Meat of geese, fresh or chilled</t>
  </si>
  <si>
    <t>Meat of goat, fresh or chilled</t>
  </si>
  <si>
    <t>Meat of mules, fresh or chilled</t>
  </si>
  <si>
    <t>Meat of other domestic camelids, fresh or chilled</t>
  </si>
  <si>
    <t>Meat of other domestic rodents, fresh or chilled</t>
  </si>
  <si>
    <t>Meat of pig with the bone, fresh or chilled</t>
  </si>
  <si>
    <t>Meat of pigeons and other birds n.e.c., fresh, chilled or frozen</t>
  </si>
  <si>
    <t>Meat of rabbits and hares, fresh or chilled</t>
  </si>
  <si>
    <t>Meat of sheep, fresh or chilled</t>
  </si>
  <si>
    <t>Meat of turkeys, fresh or chilled</t>
  </si>
  <si>
    <t>Melonseed</t>
  </si>
  <si>
    <t>Mixed grain</t>
  </si>
  <si>
    <t>Molasses</t>
  </si>
  <si>
    <t>Mules and hinnies</t>
  </si>
  <si>
    <t>Mushrooms and truffles</t>
  </si>
  <si>
    <t>Mustard seed</t>
  </si>
  <si>
    <t>Natural honey</t>
  </si>
  <si>
    <t>Natural rubber in primary forms</t>
  </si>
  <si>
    <t>Nutmeg, mace, cardamoms, raw</t>
  </si>
  <si>
    <t>Oil of linseed</t>
  </si>
  <si>
    <t>Oil of maize</t>
  </si>
  <si>
    <t>Oil of palm kernel</t>
  </si>
  <si>
    <t>Oil of sesame seed</t>
  </si>
  <si>
    <t>Oil palm fruit</t>
  </si>
  <si>
    <t>Okra</t>
  </si>
  <si>
    <t>Olive oil</t>
  </si>
  <si>
    <t>Olives</t>
  </si>
  <si>
    <t>Onions and shallots, dry (excluding dehydrated)</t>
  </si>
  <si>
    <t>Onions and shallots, green</t>
  </si>
  <si>
    <t>Oranges</t>
  </si>
  <si>
    <t>Other beans, green</t>
  </si>
  <si>
    <t>Other berries and fruits of the genus vaccinium n.e.c.</t>
  </si>
  <si>
    <t>Other birds</t>
  </si>
  <si>
    <t>Other camelids</t>
  </si>
  <si>
    <t>Other citrus fruit, n.e.c.</t>
  </si>
  <si>
    <t>Other fibre crops, raw, n.e.c.</t>
  </si>
  <si>
    <t>Other fruits, n.e.c.</t>
  </si>
  <si>
    <t>Other meat of mammals, fresh or chilled</t>
  </si>
  <si>
    <t>Other nuts (excluding wild edible nuts and groundnuts), in shell, n.e.c.</t>
  </si>
  <si>
    <t>Other oil seeds, n.e.c.</t>
  </si>
  <si>
    <t>Other pome fruits</t>
  </si>
  <si>
    <t>Other pulses n.e.c.</t>
  </si>
  <si>
    <t>Other rodents</t>
  </si>
  <si>
    <t>Other stimulant, spice and aromatic crops, n.e.c.</t>
  </si>
  <si>
    <t>Other stone fruits</t>
  </si>
  <si>
    <t>Other sugar crops n.e.c.</t>
  </si>
  <si>
    <t>Other tropical fruits, n.e.c.</t>
  </si>
  <si>
    <t>Other vegetables, fresh n.e.c.</t>
  </si>
  <si>
    <t>Palm kernels</t>
  </si>
  <si>
    <t>Palm oil</t>
  </si>
  <si>
    <t>Papayas</t>
  </si>
  <si>
    <t>Peaches and nectarines</t>
  </si>
  <si>
    <t>Pears</t>
  </si>
  <si>
    <t>Peas, green</t>
  </si>
  <si>
    <t>Pepper (Piper spp.), raw</t>
  </si>
  <si>
    <t>Peppermint, spearmint</t>
  </si>
  <si>
    <t>Persimmons</t>
  </si>
  <si>
    <t>Pig fat, rendered</t>
  </si>
  <si>
    <t>Pigeon peas, dry</t>
  </si>
  <si>
    <t>Pistachios, in shell</t>
  </si>
  <si>
    <t>Plantains and cooking bananas</t>
  </si>
  <si>
    <t>Plums and sloes</t>
  </si>
  <si>
    <t>Pomelos and grapefruits</t>
  </si>
  <si>
    <t>Poppy seed</t>
  </si>
  <si>
    <t>Pumpkins, squash and gourds</t>
  </si>
  <si>
    <t>Pyrethrum, dried flowers</t>
  </si>
  <si>
    <t>Quinces</t>
  </si>
  <si>
    <t>Rabbits and hares</t>
  </si>
  <si>
    <t>Ramie, raw or retted</t>
  </si>
  <si>
    <t>Rape or colza seed</t>
  </si>
  <si>
    <t>Rapeseed or canola oil, crude</t>
  </si>
  <si>
    <t>Raspberries</t>
  </si>
  <si>
    <t>Raw cane or beet sugar (centrifugal only)</t>
  </si>
  <si>
    <t>Raw hides and skins of buffaloes</t>
  </si>
  <si>
    <t>Raw hides and skins of cattle</t>
  </si>
  <si>
    <t>Raw hides and skins of goats or kids</t>
  </si>
  <si>
    <t>Raw hides and skins of sheep or lambs</t>
  </si>
  <si>
    <t>Raw milk of buffalo</t>
  </si>
  <si>
    <t>Raw milk of camel</t>
  </si>
  <si>
    <t>Raw milk of cattle</t>
  </si>
  <si>
    <t>Raw milk of goats</t>
  </si>
  <si>
    <t>Raw milk of sheep</t>
  </si>
  <si>
    <t>Raw silk (not thrown)</t>
  </si>
  <si>
    <t>Safflower seed</t>
  </si>
  <si>
    <t>Safflower-seed oil, crude</t>
  </si>
  <si>
    <t>Seed cotton, unginned</t>
  </si>
  <si>
    <t>Sesame seed</t>
  </si>
  <si>
    <t>Sheep</t>
  </si>
  <si>
    <t>Sheep fat, unrendered</t>
  </si>
  <si>
    <t>Shorn wool, greasy, including fleece-washed shorn wool</t>
  </si>
  <si>
    <t>Silk-worm cocoons suitable for reeling</t>
  </si>
  <si>
    <t>Sisal, raw</t>
  </si>
  <si>
    <t>Skim milk and whey powder</t>
  </si>
  <si>
    <t>Skim milk of cows</t>
  </si>
  <si>
    <t>Skim milk, condensed</t>
  </si>
  <si>
    <t>Skim milk, evaporated</t>
  </si>
  <si>
    <t>Snails, fresh, chilled, frozen, dried, salted or in brine, except sea snails</t>
  </si>
  <si>
    <t>Sour cherries</t>
  </si>
  <si>
    <t>Soya bean oil</t>
  </si>
  <si>
    <t>Soya beans</t>
  </si>
  <si>
    <t>Spinach</t>
  </si>
  <si>
    <t>Strawberries</t>
  </si>
  <si>
    <t>Sunflower seed</t>
  </si>
  <si>
    <t>Sunflower-seed oil, crude</t>
  </si>
  <si>
    <t>Swine / pigs</t>
  </si>
  <si>
    <t>Tallow</t>
  </si>
  <si>
    <t>Tallowtree seeds</t>
  </si>
  <si>
    <t>Tangerines, mandarins, clementines</t>
  </si>
  <si>
    <t>Taro</t>
  </si>
  <si>
    <t>Tea leaves</t>
  </si>
  <si>
    <t>Tomatoes</t>
  </si>
  <si>
    <t>True hemp, raw or retted</t>
  </si>
  <si>
    <t>Tung nuts</t>
  </si>
  <si>
    <t>Turkeys</t>
  </si>
  <si>
    <t>Unmanufactured tobacco</t>
  </si>
  <si>
    <t>Vanilla, raw</t>
  </si>
  <si>
    <t>Vetches</t>
  </si>
  <si>
    <t>Walnuts, in shell</t>
  </si>
  <si>
    <t>Watermelons</t>
  </si>
  <si>
    <t>Whey, condensed</t>
  </si>
  <si>
    <t>Whey, dry</t>
  </si>
  <si>
    <t>Whole milk powder</t>
  </si>
  <si>
    <t>Whole milk, condensed</t>
  </si>
  <si>
    <t>Whole milk, evaporated</t>
  </si>
  <si>
    <t>Wine</t>
  </si>
  <si>
    <t>Yams</t>
  </si>
  <si>
    <t>Yautia</t>
  </si>
  <si>
    <t>Yoghurt</t>
  </si>
  <si>
    <t>Crops, primary &gt; (List)</t>
  </si>
  <si>
    <t>Crops Processed &gt; (List)</t>
  </si>
  <si>
    <t>Livestock primary &gt; (List)</t>
  </si>
  <si>
    <t>Livestock processed &gt; (List)</t>
  </si>
  <si>
    <t>Live Animals &gt; (List)</t>
  </si>
  <si>
    <t>Cereals, primary + (Total)</t>
  </si>
  <si>
    <t>Cereals, primary &gt; (List)</t>
  </si>
  <si>
    <t>Citrus Fruit, Total + (Total)</t>
  </si>
  <si>
    <t>Citrus Fruit, Total &gt; (List)</t>
  </si>
  <si>
    <t>Fibre Crops Primary &gt; (List)</t>
  </si>
  <si>
    <t>Fibre Crops, Fibre Equivalent + (Total)</t>
  </si>
  <si>
    <t>Fruit Primary + (Total)</t>
  </si>
  <si>
    <t>Fruit Primary &gt; (List)</t>
  </si>
  <si>
    <t>Oilcrops Primary &gt; (List)</t>
  </si>
  <si>
    <t>Oilcrops, Cake Equivalent + (Total)</t>
  </si>
  <si>
    <t>Oilcrops, Oil Equivalent + (Total)</t>
  </si>
  <si>
    <t>Pulses, Total + (Total)</t>
  </si>
  <si>
    <t>Pulses, Total &gt; (List)</t>
  </si>
  <si>
    <t>Roots and Tubers, Total + (Total)</t>
  </si>
  <si>
    <t>Roots and Tubers, Total &gt; (List)</t>
  </si>
  <si>
    <t>Sugar Crops Primary + (Total)</t>
  </si>
  <si>
    <t>Sugar Crops Primary &gt; (List)</t>
  </si>
  <si>
    <t>Treenuts, Total + (Total)</t>
  </si>
  <si>
    <t>Treenuts, Total &gt; (List)</t>
  </si>
  <si>
    <t>Vegetables Primary + (Total)</t>
  </si>
  <si>
    <t>Vegetables Primary &gt; (List)</t>
  </si>
  <si>
    <t>Beef and Buffalo Meat, primary + (Total)</t>
  </si>
  <si>
    <t>Beef and Buffalo Meat, primary &gt; (List)</t>
  </si>
  <si>
    <t>Eggs Primary + (Total)</t>
  </si>
  <si>
    <t>Eggs Primary &gt; (List)</t>
  </si>
  <si>
    <t>Hides and skins, primary &gt; (List)</t>
  </si>
  <si>
    <t>Meat, Poultry + (Total)</t>
  </si>
  <si>
    <t>Meat, Poultry &gt; (List)</t>
  </si>
  <si>
    <t>Meat, Total + (Total)</t>
  </si>
  <si>
    <t>Meat, Total &gt; (List)</t>
  </si>
  <si>
    <t>Milk, Total + (Total)</t>
  </si>
  <si>
    <t>Milk, Total &gt; (List)</t>
  </si>
  <si>
    <t>Sheep and Goat Meat + (Total)</t>
  </si>
  <si>
    <t>Sheep and Goat Meat &gt; (List)</t>
  </si>
  <si>
    <t>Butter and Ghee + (Total)</t>
  </si>
  <si>
    <t>Butter and Ghee &gt; (List)</t>
  </si>
  <si>
    <t>Cheese (All Kinds) + (Total)</t>
  </si>
  <si>
    <t>Cheese (All Kinds) &gt; (List)</t>
  </si>
  <si>
    <t>Evaporated &amp; Condensed Milk + (Total)</t>
  </si>
  <si>
    <t>Evaporated &amp; Condensed Milk &gt; (List)</t>
  </si>
  <si>
    <t>Skim Milk &amp; Buttermilk, Dry + (Total)</t>
  </si>
  <si>
    <t>Skim Milk &amp; Buttermilk, Dry &gt; (List)</t>
  </si>
  <si>
    <t>Cattle and Buffaloes + (Total)</t>
  </si>
  <si>
    <t>Cattle and Buffaloes &gt; (List)</t>
  </si>
  <si>
    <t>Poultry Birds + (Total)</t>
  </si>
  <si>
    <t>Poultry Birds &gt; (List)</t>
  </si>
  <si>
    <t>Sheep and Goats + (Total)</t>
  </si>
  <si>
    <t>Sheep and Goats &gt; (List)</t>
  </si>
  <si>
    <t>ITEM</t>
  </si>
  <si>
    <t>DRY MATTER FRACTION HARVESTED</t>
  </si>
  <si>
    <t>SLOPE</t>
  </si>
  <si>
    <t>INTERCEPT</t>
  </si>
  <si>
    <t>N CONTENT OF AG RESIDUES</t>
  </si>
  <si>
    <t>RAG</t>
  </si>
  <si>
    <t>RS</t>
  </si>
  <si>
    <t>N CONTENT OF BG RESIDUES</t>
  </si>
  <si>
    <t>COMMENTS</t>
  </si>
  <si>
    <t>Values already provided in Final_list.</t>
  </si>
  <si>
    <t>Non-crop/processed/aggregate item (ONLINE and CROPYIELDSTATS are not YES); residue factors not populated.</t>
  </si>
  <si>
    <t>Remaining missing values filled with Generic value defaults</t>
  </si>
  <si>
    <t>Approximated using mapping for 'Cereals' based on name/commodity match. Tree nuts harvested as dry seeds: proxied to Cereals as conservative seed-crop approximation.</t>
  </si>
  <si>
    <t>Approximated using mapping for 'Potatoes' based on name/commodity match. Fruit crop: used Potatoes proxy as conservative fresh-produce approximation (high moisture).</t>
  </si>
  <si>
    <t>Approximated using mapping for 'Potatoes' based on name/commodity match. Vegetable crop: used Potatoes proxy as conservative fresh-produce approximation (high moisture).</t>
  </si>
  <si>
    <t>Approximated using mapping for 'Potatoes' based on name/commodity match.</t>
  </si>
  <si>
    <t>Approximated using mapping for 'Maize' based on name/commodity match.</t>
  </si>
  <si>
    <t>Approximated using mapping for 'Upland Rice' based on name/commodity match.</t>
  </si>
  <si>
    <t>Approximated using mapping for 'Beans, Dry' based on name/commodity match.</t>
  </si>
  <si>
    <t>Approximated using mapping for 'Soybeans' based on name/commodity match. Oilseed: proxied to Soybeans parameters (seed crop present in FAO crop mapping tables).</t>
  </si>
  <si>
    <t xml:space="preserve">Approximated using mapping for 'Peanuts' </t>
  </si>
  <si>
    <t xml:space="preserve">Approximated using mapping for 'Cereals' </t>
  </si>
  <si>
    <t xml:space="preserve">Approximated using mapping for 'Beans, Dry' </t>
  </si>
  <si>
    <t xml:space="preserve">Approximated using mapping for 'Grain, Mixed' </t>
  </si>
  <si>
    <t xml:space="preserve">Approximated using mapping for 'Potatoes' </t>
  </si>
  <si>
    <t>Filled missing values from IPCC and FAO crops mapping). Exact match to FAO crop 'Beans, dry'.</t>
  </si>
  <si>
    <t>Filled missing values from IPCC and FAO crops mapping). Exact match to FAO crop 'Buckwheat'.</t>
  </si>
  <si>
    <t>Filled missing values from IPCC and FAO crops mapping). Exact match to FAO crop 'Carrots and turnips'.</t>
  </si>
  <si>
    <t>Filled missing values from IPCC and FAO crops mapping). Exact match to FAO crop 'Chicory roots'.</t>
  </si>
  <si>
    <t>Filled missing values from IPCC and FAO crops mapping). Exact match to FAO crop 'Cow peas, dry'.</t>
  </si>
  <si>
    <t>Filled missing values from IPCC and FAO crops mapping). Exact match to FAO crop 'Fonio'.</t>
  </si>
  <si>
    <t>Filled missing values from IPCC and FAO crops mapping). Exact match to FAO crop 'Millet'.</t>
  </si>
  <si>
    <t>Filled missing values from IPCC and FAO crops mapping). Exact match to FAO crop 'Oats'.</t>
  </si>
  <si>
    <t>Filled missing values from IPCC and FAO crops mapping). Exact match to FAO crop 'Pineapples'.</t>
  </si>
  <si>
    <t>Filled missing values from IPCC and FAO crops mapping). Exact match to FAO crop 'Potatoes'.</t>
  </si>
  <si>
    <t>Filled missing values from IPCC and FAO crops mapping). Exact match to FAO crop 'Quinoa'.</t>
  </si>
  <si>
    <t>Filled missing values from IPCC and FAO crops mapping). Exact match to FAO crop 'Rye'.</t>
  </si>
  <si>
    <t>Filled missing values from IPCC and FAO crops mapping). Exact match to FAO crop 'Sorghum'.</t>
  </si>
  <si>
    <t>Filled missing values from IPCC and FAO crops mapping). Exact match to FAO crop 'Sugar cane'.</t>
  </si>
  <si>
    <t>Filled missing values from IPCC and FAO crops mapping). Exact match to FAO crop 'Sweet potatoes'.</t>
  </si>
  <si>
    <t>Filled missing values from IPCC and FAO crops mapping). Exact match to FAO crop 'Triticale'.</t>
  </si>
  <si>
    <t>Filled missing values from IPCC and FAO crops mapping). Exact match to FAO crop 'Wheat'.</t>
  </si>
  <si>
    <t>ANNUALS</t>
  </si>
  <si>
    <t>PERENNIALS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</si>
</sst>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Open Sans"/>
    </font>
    <font>
      <b/>
      <sz val="10"/>
      <color rgb="FFFF0000"/>
      <name val="Open Sans"/>
    </font>
    <font>
      <b/>
      <sz val="10"/>
      <color theme="1"/>
      <name val="Open San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5DFEC"/>
        <bgColor rgb="FFE5DFEC"/>
      </patternFill>
    </fill>
    <fill>
      <patternFill patternType="solid">
        <fgColor theme="7"/>
        <bgColor theme="7"/>
      </patternFill>
    </fill>
    <fill>
      <patternFill patternType="solid">
        <fgColor theme="0"/>
        <bgColor theme="0"/>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n">
        <color theme="0"/>
      </bottom>
      <diagonal/>
    </border>
    <border>
      <left/>
      <right style="thin">
        <color theme="0"/>
      </right>
      <top/>
      <bottom/>
      <diagonal/>
    </border>
    <border>
      <left style="thin">
        <color theme="0"/>
      </left>
      <right style="thin">
        <color theme="0"/>
      </right>
      <top style="thin">
        <color theme="0"/>
      </top>
      <bottom style="thin">
        <color rgb="FF000000"/>
      </bottom>
      <diagonal/>
    </border>
    <border>
      <left/>
      <right/>
      <top style="thin">
        <color rgb="FF000000"/>
      </top>
      <bottom/>
      <diagonal/>
    </border>
    <border>
      <left/>
      <right/>
      <top/>
      <bottom style="thin">
        <color rgb="FF000000"/>
      </bottom>
      <diagonal/>
    </border>
    <border>
      <left/>
      <right style="thin">
        <color theme="0"/>
      </right>
      <top style="thin">
        <color theme="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33" borderId="10" xfId="0" applyFont="1" applyFill="1" applyBorder="1" applyAlignment="1">
      <alignment vertical="center" wrapText="1"/>
    </xf>
    <xf numFmtId="0" fontId="18" fillId="33" borderId="10" xfId="0" applyFont="1" applyFill="1" applyBorder="1" applyAlignment="1">
      <alignment horizontal="center" vertical="center" wrapText="1"/>
    </xf>
    <xf numFmtId="0" fontId="18" fillId="33" borderId="10" xfId="0" applyFont="1" applyFill="1" applyBorder="1"/>
    <xf numFmtId="2" fontId="18" fillId="33" borderId="10" xfId="0" applyNumberFormat="1" applyFont="1" applyFill="1" applyBorder="1" applyAlignment="1">
      <alignment horizontal="center"/>
    </xf>
    <xf numFmtId="164" fontId="18" fillId="33" borderId="10" xfId="0" applyNumberFormat="1" applyFont="1" applyFill="1" applyBorder="1" applyAlignment="1">
      <alignment horizontal="center"/>
    </xf>
    <xf numFmtId="0" fontId="18" fillId="33" borderId="10" xfId="0" applyFont="1" applyFill="1" applyBorder="1" applyAlignment="1">
      <alignment wrapText="1"/>
    </xf>
    <xf numFmtId="0" fontId="18" fillId="33" borderId="11" xfId="0" applyFont="1" applyFill="1" applyBorder="1"/>
    <xf numFmtId="2" fontId="18" fillId="33" borderId="11" xfId="0" applyNumberFormat="1" applyFont="1" applyFill="1" applyBorder="1" applyAlignment="1">
      <alignment horizontal="center"/>
    </xf>
    <xf numFmtId="164" fontId="18" fillId="33" borderId="11" xfId="0" applyNumberFormat="1" applyFont="1" applyFill="1" applyBorder="1" applyAlignment="1">
      <alignment horizontal="center"/>
    </xf>
    <xf numFmtId="164" fontId="18" fillId="33" borderId="12" xfId="0" applyNumberFormat="1" applyFont="1" applyFill="1" applyBorder="1" applyAlignment="1">
      <alignment horizontal="center"/>
    </xf>
    <xf numFmtId="0" fontId="18" fillId="33" borderId="13" xfId="0" applyFont="1" applyFill="1" applyBorder="1"/>
    <xf numFmtId="0" fontId="18" fillId="33" borderId="0" xfId="0" applyFont="1" applyFill="1"/>
    <xf numFmtId="0" fontId="19" fillId="33" borderId="0" xfId="0" applyFont="1" applyFill="1"/>
    <xf numFmtId="0" fontId="20" fillId="34" borderId="14" xfId="0" applyFont="1" applyFill="1" applyBorder="1"/>
    <xf numFmtId="0" fontId="18" fillId="34" borderId="14" xfId="0" applyFont="1" applyFill="1" applyBorder="1"/>
    <xf numFmtId="0" fontId="20" fillId="34" borderId="0" xfId="0" applyFont="1" applyFill="1"/>
    <xf numFmtId="0" fontId="20" fillId="34" borderId="0" xfId="0" applyFont="1" applyFill="1" applyAlignment="1">
      <alignment horizontal="center" wrapText="1"/>
    </xf>
    <xf numFmtId="0" fontId="20" fillId="34" borderId="0" xfId="0" applyFont="1" applyFill="1" applyAlignment="1">
      <alignment horizontal="center"/>
    </xf>
    <xf numFmtId="0" fontId="18" fillId="33" borderId="10" xfId="0" applyFont="1" applyFill="1" applyBorder="1" applyAlignment="1">
      <alignment horizontal="center" wrapText="1"/>
    </xf>
    <xf numFmtId="0" fontId="18" fillId="33" borderId="10" xfId="0" applyFont="1" applyFill="1" applyBorder="1" applyAlignment="1">
      <alignment horizontal="center"/>
    </xf>
    <xf numFmtId="0" fontId="18" fillId="35" borderId="0" xfId="0" applyFont="1" applyFill="1"/>
    <xf numFmtId="0" fontId="18" fillId="33"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D0C3D-8997-4926-878D-FAE2B8913EFE}">
  <sheetPr codeName="Sheet1"/>
  <dimension ref="A1:F26"/>
  <sheetViews>
    <sheetView workbookViewId="0">
      <selection activeCell="B13" sqref="B13"/>
    </sheetView>
  </sheetViews>
  <sheetFormatPr defaultRowHeight="15" x14ac:dyDescent="0.25"/>
  <cols>
    <col min="1" max="1" width="44.140625" customWidth="1"/>
    <col min="2" max="2" width="50.5703125" customWidth="1"/>
    <col min="3" max="3" width="38.5703125" customWidth="1"/>
    <col min="4" max="4" width="26.140625" customWidth="1"/>
    <col min="5" max="5" width="25.7109375" customWidth="1"/>
    <col min="6" max="6" width="35.28515625" customWidth="1"/>
  </cols>
  <sheetData>
    <row r="1" spans="1:6" x14ac:dyDescent="0.25">
      <c r="A1" t="s">
        <v>0</v>
      </c>
      <c r="B1" t="s">
        <v>1</v>
      </c>
      <c r="C1" t="s">
        <v>2</v>
      </c>
      <c r="D1" t="s">
        <v>3</v>
      </c>
      <c r="E1" t="s">
        <v>4</v>
      </c>
      <c r="F1" t="s">
        <v>5</v>
      </c>
    </row>
    <row r="2" spans="1:6" x14ac:dyDescent="0.25">
      <c r="A2" t="s">
        <v>6</v>
      </c>
      <c r="B2">
        <v>0</v>
      </c>
      <c r="C2">
        <v>0</v>
      </c>
      <c r="D2">
        <v>8.0000000000000002E-3</v>
      </c>
      <c r="E2">
        <v>0.22</v>
      </c>
      <c r="F2">
        <v>8.9999999999999993E-3</v>
      </c>
    </row>
    <row r="3" spans="1:6" x14ac:dyDescent="0.25">
      <c r="A3" t="s">
        <v>7</v>
      </c>
      <c r="B3">
        <v>1.0900000000000001</v>
      </c>
      <c r="C3">
        <v>0.88</v>
      </c>
      <c r="D3">
        <v>6.0000000000000001E-3</v>
      </c>
      <c r="E3">
        <v>0.22</v>
      </c>
      <c r="F3">
        <v>8.9999999999999993E-3</v>
      </c>
    </row>
    <row r="4" spans="1:6" x14ac:dyDescent="0.25">
      <c r="A4" t="s">
        <v>8</v>
      </c>
      <c r="B4">
        <v>1.1299999999999999</v>
      </c>
      <c r="C4">
        <v>0.85</v>
      </c>
      <c r="D4">
        <v>8.0000000000000002E-3</v>
      </c>
      <c r="E4">
        <v>0.19</v>
      </c>
      <c r="F4">
        <v>8.0000000000000002E-3</v>
      </c>
    </row>
    <row r="5" spans="1:6" x14ac:dyDescent="0.25">
      <c r="A5" t="s">
        <v>9</v>
      </c>
      <c r="B5">
        <v>0.1</v>
      </c>
      <c r="C5">
        <v>1.06</v>
      </c>
      <c r="D5">
        <v>1.9E-2</v>
      </c>
      <c r="E5">
        <v>0.2</v>
      </c>
      <c r="F5">
        <v>1.4E-2</v>
      </c>
    </row>
    <row r="6" spans="1:6" x14ac:dyDescent="0.25">
      <c r="A6" t="s">
        <v>10</v>
      </c>
      <c r="B6">
        <v>1.07</v>
      </c>
      <c r="C6">
        <v>1.54</v>
      </c>
      <c r="D6">
        <v>1.9E-2</v>
      </c>
      <c r="E6">
        <v>0.2</v>
      </c>
      <c r="F6">
        <v>1.4E-2</v>
      </c>
    </row>
    <row r="7" spans="1:6" x14ac:dyDescent="0.25">
      <c r="A7" t="s">
        <v>11</v>
      </c>
      <c r="B7">
        <v>0.3</v>
      </c>
      <c r="C7">
        <v>0</v>
      </c>
      <c r="D7">
        <v>2.7E-2</v>
      </c>
      <c r="E7">
        <v>0.4</v>
      </c>
      <c r="F7">
        <v>2.1999999999999999E-2</v>
      </c>
    </row>
    <row r="8" spans="1:6" x14ac:dyDescent="0.25">
      <c r="A8" t="s">
        <v>12</v>
      </c>
      <c r="B8">
        <v>0.3</v>
      </c>
      <c r="C8">
        <v>0</v>
      </c>
      <c r="D8">
        <v>1.4999999999999999E-2</v>
      </c>
      <c r="E8">
        <v>0.54</v>
      </c>
      <c r="F8">
        <v>1.2E-2</v>
      </c>
    </row>
    <row r="9" spans="1:6" x14ac:dyDescent="0.25">
      <c r="A9" t="s">
        <v>13</v>
      </c>
      <c r="B9">
        <v>1.03</v>
      </c>
      <c r="C9">
        <v>0.61</v>
      </c>
      <c r="D9">
        <v>6.0000000000000001E-3</v>
      </c>
      <c r="E9">
        <v>0.22</v>
      </c>
      <c r="F9">
        <v>7.0000000000000001E-3</v>
      </c>
    </row>
    <row r="10" spans="1:6" x14ac:dyDescent="0.25">
      <c r="A10" t="s">
        <v>14</v>
      </c>
      <c r="B10">
        <v>1.51</v>
      </c>
      <c r="C10">
        <v>0.52</v>
      </c>
      <c r="D10">
        <v>6.0000000000000001E-3</v>
      </c>
      <c r="E10">
        <v>0.24</v>
      </c>
      <c r="F10">
        <v>8.9999999999999993E-3</v>
      </c>
    </row>
    <row r="11" spans="1:6" x14ac:dyDescent="0.25">
      <c r="A11" t="s">
        <v>15</v>
      </c>
      <c r="B11">
        <v>1.61</v>
      </c>
      <c r="C11">
        <v>0.4</v>
      </c>
      <c r="D11">
        <v>6.0000000000000001E-3</v>
      </c>
      <c r="E11">
        <v>0.23</v>
      </c>
      <c r="F11">
        <v>8.9999999999999993E-3</v>
      </c>
    </row>
    <row r="12" spans="1:6" x14ac:dyDescent="0.25">
      <c r="A12" t="s">
        <v>16</v>
      </c>
      <c r="B12">
        <v>1.29</v>
      </c>
      <c r="C12">
        <v>0.75</v>
      </c>
      <c r="D12">
        <v>6.0000000000000001E-3</v>
      </c>
      <c r="E12">
        <v>0.28000000000000003</v>
      </c>
      <c r="F12">
        <v>8.9999999999999993E-3</v>
      </c>
    </row>
    <row r="13" spans="1:6" x14ac:dyDescent="0.25">
      <c r="A13" t="s">
        <v>17</v>
      </c>
      <c r="B13">
        <v>0.95</v>
      </c>
      <c r="C13">
        <v>2.46</v>
      </c>
      <c r="D13">
        <v>7.0000000000000001E-3</v>
      </c>
      <c r="E13">
        <v>0.16</v>
      </c>
      <c r="F13">
        <v>8.9999999999999993E-3</v>
      </c>
    </row>
    <row r="14" spans="1:6" x14ac:dyDescent="0.25">
      <c r="A14" t="s">
        <v>18</v>
      </c>
      <c r="B14">
        <v>0.98</v>
      </c>
      <c r="C14">
        <v>0.59</v>
      </c>
      <c r="D14">
        <v>7.0000000000000001E-3</v>
      </c>
      <c r="E14">
        <v>0.22</v>
      </c>
      <c r="F14">
        <v>1.4E-2</v>
      </c>
    </row>
    <row r="15" spans="1:6" x14ac:dyDescent="0.25">
      <c r="A15" t="s">
        <v>19</v>
      </c>
      <c r="B15">
        <v>0.91</v>
      </c>
      <c r="C15">
        <v>0.89</v>
      </c>
      <c r="D15">
        <v>7.0000000000000001E-3</v>
      </c>
      <c r="E15">
        <v>0.25</v>
      </c>
      <c r="F15">
        <v>8.0000000000000002E-3</v>
      </c>
    </row>
    <row r="16" spans="1:6" x14ac:dyDescent="0.25">
      <c r="A16" t="s">
        <v>20</v>
      </c>
      <c r="B16">
        <v>1.43</v>
      </c>
      <c r="C16">
        <v>0.14000000000000001</v>
      </c>
      <c r="D16">
        <v>7.0000000000000001E-3</v>
      </c>
      <c r="E16">
        <v>0.22</v>
      </c>
      <c r="F16">
        <v>8.9999999999999993E-3</v>
      </c>
    </row>
    <row r="17" spans="1:6" x14ac:dyDescent="0.25">
      <c r="A17" t="s">
        <v>21</v>
      </c>
      <c r="B17">
        <v>0.88</v>
      </c>
      <c r="C17">
        <v>1.33</v>
      </c>
      <c r="D17">
        <v>7.0000000000000001E-3</v>
      </c>
      <c r="E17">
        <v>0.22</v>
      </c>
      <c r="F17">
        <v>6.0000000000000001E-3</v>
      </c>
    </row>
    <row r="18" spans="1:6" x14ac:dyDescent="0.25">
      <c r="A18" t="s">
        <v>22</v>
      </c>
      <c r="B18">
        <v>1.0900000000000001</v>
      </c>
      <c r="C18">
        <v>0.88</v>
      </c>
      <c r="D18">
        <v>5.0000000000000001E-3</v>
      </c>
      <c r="E18">
        <v>0.22</v>
      </c>
      <c r="F18">
        <v>1.0999999999999999E-2</v>
      </c>
    </row>
    <row r="19" spans="1:6" x14ac:dyDescent="0.25">
      <c r="A19" t="s">
        <v>23</v>
      </c>
      <c r="B19">
        <v>0.93</v>
      </c>
      <c r="C19">
        <v>1.35</v>
      </c>
      <c r="D19">
        <v>8.0000000000000002E-3</v>
      </c>
      <c r="E19">
        <v>0.19</v>
      </c>
      <c r="F19">
        <v>8.0000000000000002E-3</v>
      </c>
    </row>
    <row r="20" spans="1:6" x14ac:dyDescent="0.25">
      <c r="A20" t="s">
        <v>24</v>
      </c>
      <c r="B20">
        <v>0.36</v>
      </c>
      <c r="C20">
        <v>0.68</v>
      </c>
      <c r="D20">
        <v>0.01</v>
      </c>
      <c r="E20">
        <v>0.22</v>
      </c>
      <c r="F20">
        <v>0.01</v>
      </c>
    </row>
    <row r="21" spans="1:6" x14ac:dyDescent="0.25">
      <c r="A21" t="s">
        <v>25</v>
      </c>
      <c r="B21">
        <v>0.1</v>
      </c>
      <c r="C21">
        <v>1.06</v>
      </c>
      <c r="D21">
        <v>1.9E-2</v>
      </c>
      <c r="E21">
        <v>0.2</v>
      </c>
      <c r="F21">
        <v>1.4E-2</v>
      </c>
    </row>
    <row r="22" spans="1:6" x14ac:dyDescent="0.25">
      <c r="A22" t="s">
        <v>26</v>
      </c>
      <c r="B22">
        <v>1.07</v>
      </c>
      <c r="C22">
        <v>1.54</v>
      </c>
      <c r="D22">
        <v>1.6E-2</v>
      </c>
      <c r="E22">
        <v>0.22</v>
      </c>
      <c r="F22">
        <v>8.9999999999999993E-3</v>
      </c>
    </row>
    <row r="23" spans="1:6" x14ac:dyDescent="0.25">
      <c r="A23" t="s">
        <v>27</v>
      </c>
      <c r="B23">
        <v>0.28999999999999998</v>
      </c>
      <c r="C23">
        <v>0</v>
      </c>
      <c r="D23">
        <v>2.7E-2</v>
      </c>
      <c r="E23">
        <v>0.4</v>
      </c>
      <c r="F23">
        <v>1.9E-2</v>
      </c>
    </row>
    <row r="24" spans="1:6" x14ac:dyDescent="0.25">
      <c r="A24" t="s">
        <v>28</v>
      </c>
      <c r="B24">
        <v>0.18</v>
      </c>
      <c r="C24">
        <v>0</v>
      </c>
      <c r="D24">
        <v>1.4999999999999999E-2</v>
      </c>
      <c r="E24">
        <v>0.54</v>
      </c>
      <c r="F24">
        <v>1.2E-2</v>
      </c>
    </row>
    <row r="25" spans="1:6" x14ac:dyDescent="0.25">
      <c r="A25" t="s">
        <v>29</v>
      </c>
      <c r="B25">
        <v>0.3</v>
      </c>
      <c r="C25">
        <v>0</v>
      </c>
      <c r="D25">
        <v>1.4999999999999999E-2</v>
      </c>
      <c r="E25">
        <v>0.8</v>
      </c>
      <c r="F25">
        <v>1.2E-2</v>
      </c>
    </row>
    <row r="26" spans="1:6" x14ac:dyDescent="0.25">
      <c r="A26" t="s">
        <v>30</v>
      </c>
      <c r="B26">
        <v>0.3</v>
      </c>
      <c r="C26">
        <v>0</v>
      </c>
      <c r="D26">
        <v>2.5000000000000001E-2</v>
      </c>
      <c r="E26">
        <v>0.8</v>
      </c>
      <c r="F26">
        <v>1.6E-2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AEC6-AACE-49AC-8EA7-4E4DE8A324E7}">
  <dimension ref="A1:J62"/>
  <sheetViews>
    <sheetView workbookViewId="0">
      <selection activeCell="B13" sqref="B13"/>
    </sheetView>
  </sheetViews>
  <sheetFormatPr defaultRowHeight="15" x14ac:dyDescent="0.25"/>
  <cols>
    <col min="1" max="1" width="32" customWidth="1"/>
  </cols>
  <sheetData>
    <row r="1" spans="1:10" ht="15.75" x14ac:dyDescent="0.3">
      <c r="A1" s="14" t="s">
        <v>68</v>
      </c>
      <c r="B1" s="15"/>
      <c r="C1" s="15"/>
      <c r="D1" s="15"/>
      <c r="E1" s="15"/>
      <c r="F1" s="15"/>
      <c r="G1" s="15"/>
      <c r="H1" s="15"/>
      <c r="I1" s="15"/>
      <c r="J1" s="15"/>
    </row>
    <row r="2" spans="1:10" ht="15.75" x14ac:dyDescent="0.3">
      <c r="A2" s="16" t="s">
        <v>70</v>
      </c>
      <c r="B2" s="17"/>
      <c r="C2" s="18"/>
      <c r="D2" s="18"/>
      <c r="E2" s="18"/>
      <c r="F2" s="18"/>
      <c r="G2" s="18"/>
      <c r="H2" s="18"/>
      <c r="I2" s="18"/>
      <c r="J2" s="18"/>
    </row>
    <row r="3" spans="1:10" ht="90" x14ac:dyDescent="0.3">
      <c r="A3" s="1" t="s">
        <v>0</v>
      </c>
      <c r="B3" s="2" t="s">
        <v>32</v>
      </c>
      <c r="C3" s="2" t="s">
        <v>33</v>
      </c>
      <c r="D3" s="2" t="s">
        <v>34</v>
      </c>
      <c r="E3" s="2" t="s">
        <v>3</v>
      </c>
      <c r="F3" s="2" t="s">
        <v>35</v>
      </c>
      <c r="G3" s="2" t="s">
        <v>36</v>
      </c>
      <c r="H3" s="2" t="s">
        <v>37</v>
      </c>
      <c r="I3" s="19"/>
      <c r="J3" s="19"/>
    </row>
    <row r="4" spans="1:10" ht="15.75" x14ac:dyDescent="0.3">
      <c r="A4" s="3" t="s">
        <v>71</v>
      </c>
      <c r="B4" s="20">
        <v>0.88</v>
      </c>
      <c r="C4" s="20">
        <v>1.0900000000000001</v>
      </c>
      <c r="D4" s="20">
        <v>0.88</v>
      </c>
      <c r="E4" s="20">
        <v>6.0000000000000001E-3</v>
      </c>
      <c r="F4" s="20">
        <v>1.3</v>
      </c>
      <c r="G4" s="20">
        <v>0.22</v>
      </c>
      <c r="H4" s="20">
        <v>8.9999999999999993E-3</v>
      </c>
      <c r="I4" s="20"/>
      <c r="J4" s="20"/>
    </row>
    <row r="5" spans="1:10" ht="15.75" x14ac:dyDescent="0.3">
      <c r="A5" s="3" t="s">
        <v>14</v>
      </c>
      <c r="B5" s="20">
        <v>0.89</v>
      </c>
      <c r="C5" s="20">
        <v>1.51</v>
      </c>
      <c r="D5" s="20">
        <v>0.52</v>
      </c>
      <c r="E5" s="20">
        <f>AVERAGE(0.006,0.006)</f>
        <v>6.0000000000000001E-3</v>
      </c>
      <c r="F5" s="20">
        <f>AVERAGE(1.3,1.3)</f>
        <v>1.3</v>
      </c>
      <c r="G5" s="20">
        <f>AVERAGE(0.23,0.28)</f>
        <v>0.255</v>
      </c>
      <c r="H5" s="20">
        <f>AVERAGE(0.009,0.009)</f>
        <v>8.9999999999999993E-3</v>
      </c>
      <c r="I5" s="20"/>
      <c r="J5" s="20"/>
    </row>
    <row r="6" spans="1:10" ht="15.75" x14ac:dyDescent="0.3">
      <c r="A6" s="3" t="s">
        <v>18</v>
      </c>
      <c r="B6" s="20">
        <v>0.89</v>
      </c>
      <c r="C6" s="20">
        <v>0.98</v>
      </c>
      <c r="D6" s="20">
        <v>0.59</v>
      </c>
      <c r="E6" s="20">
        <v>7.0000000000000001E-3</v>
      </c>
      <c r="F6" s="20">
        <v>1.2</v>
      </c>
      <c r="G6" s="20">
        <v>0.22</v>
      </c>
      <c r="H6" s="20">
        <v>1.4E-2</v>
      </c>
      <c r="I6" s="20"/>
      <c r="J6" s="20"/>
    </row>
    <row r="7" spans="1:10" ht="15.75" x14ac:dyDescent="0.3">
      <c r="A7" s="3" t="s">
        <v>19</v>
      </c>
      <c r="B7" s="20">
        <v>0.89</v>
      </c>
      <c r="C7" s="20">
        <v>0.91</v>
      </c>
      <c r="D7" s="20">
        <v>0.89</v>
      </c>
      <c r="E7" s="20">
        <v>7.0000000000000001E-3</v>
      </c>
      <c r="F7" s="20">
        <v>1.3</v>
      </c>
      <c r="G7" s="20">
        <v>0.25</v>
      </c>
      <c r="H7" s="20">
        <v>8.0000000000000002E-3</v>
      </c>
      <c r="I7" s="20"/>
      <c r="J7" s="20"/>
    </row>
    <row r="8" spans="1:10" ht="15.75" x14ac:dyDescent="0.3">
      <c r="A8" s="3" t="s">
        <v>13</v>
      </c>
      <c r="B8" s="20">
        <v>0.87</v>
      </c>
      <c r="C8" s="20">
        <v>1.03</v>
      </c>
      <c r="D8" s="20">
        <v>0.61</v>
      </c>
      <c r="E8" s="20">
        <v>6.0000000000000001E-3</v>
      </c>
      <c r="F8" s="20">
        <v>1</v>
      </c>
      <c r="G8" s="20">
        <v>0.22</v>
      </c>
      <c r="H8" s="20">
        <v>7.0000000000000001E-3</v>
      </c>
      <c r="I8" s="20"/>
      <c r="J8" s="20"/>
    </row>
    <row r="9" spans="1:10" ht="15.75" x14ac:dyDescent="0.3">
      <c r="A9" s="3" t="s">
        <v>22</v>
      </c>
      <c r="B9" s="20">
        <v>0.88</v>
      </c>
      <c r="C9" s="20">
        <v>1.0900000000000001</v>
      </c>
      <c r="D9" s="20">
        <v>0.88</v>
      </c>
      <c r="E9" s="20">
        <v>5.0000000000000001E-3</v>
      </c>
      <c r="F9" s="20">
        <v>1.6</v>
      </c>
      <c r="G9" s="20"/>
      <c r="H9" s="20">
        <v>1.0999999999999999E-2</v>
      </c>
      <c r="I9" s="20"/>
      <c r="J9" s="20"/>
    </row>
    <row r="10" spans="1:10" ht="15.75" x14ac:dyDescent="0.3">
      <c r="A10" s="3" t="s">
        <v>17</v>
      </c>
      <c r="B10" s="20">
        <v>0.89</v>
      </c>
      <c r="C10" s="20">
        <v>0.95</v>
      </c>
      <c r="D10" s="20">
        <v>2.46</v>
      </c>
      <c r="E10" s="20">
        <v>7.0000000000000001E-3</v>
      </c>
      <c r="F10" s="20">
        <v>1.4</v>
      </c>
      <c r="G10" s="20">
        <v>0.16</v>
      </c>
      <c r="H10" s="20"/>
      <c r="I10" s="20"/>
      <c r="J10" s="20"/>
    </row>
    <row r="11" spans="1:10" ht="15.75" x14ac:dyDescent="0.3">
      <c r="A11" s="3" t="s">
        <v>20</v>
      </c>
      <c r="B11" s="4">
        <v>0.9</v>
      </c>
      <c r="C11" s="20">
        <v>1.43</v>
      </c>
      <c r="D11" s="20">
        <v>0.14000000000000001</v>
      </c>
      <c r="E11" s="20">
        <v>7.0000000000000001E-3</v>
      </c>
      <c r="F11" s="20">
        <v>1.4</v>
      </c>
      <c r="G11" s="20"/>
      <c r="H11" s="20"/>
      <c r="I11" s="20"/>
      <c r="J11" s="20"/>
    </row>
    <row r="12" spans="1:10" ht="15.75" x14ac:dyDescent="0.3">
      <c r="A12" s="3" t="s">
        <v>21</v>
      </c>
      <c r="B12" s="20">
        <v>0.89</v>
      </c>
      <c r="C12" s="20">
        <v>0.88</v>
      </c>
      <c r="D12" s="20">
        <v>1.33</v>
      </c>
      <c r="E12" s="20">
        <v>7.0000000000000001E-3</v>
      </c>
      <c r="F12" s="20">
        <v>1.4</v>
      </c>
      <c r="G12" s="20"/>
      <c r="H12" s="20">
        <v>6.0000000000000001E-3</v>
      </c>
      <c r="I12" s="20"/>
      <c r="J12" s="20"/>
    </row>
    <row r="13" spans="1:10" ht="15.75" x14ac:dyDescent="0.3">
      <c r="A13" s="3" t="s">
        <v>72</v>
      </c>
      <c r="B13" s="20">
        <v>0.91</v>
      </c>
      <c r="C13" s="20">
        <v>1.1299999999999999</v>
      </c>
      <c r="D13" s="20">
        <v>0.85</v>
      </c>
      <c r="E13" s="20">
        <v>8.0000000000000002E-3</v>
      </c>
      <c r="F13" s="20">
        <v>2.1</v>
      </c>
      <c r="G13" s="20">
        <v>0.19</v>
      </c>
      <c r="H13" s="20">
        <v>8.0000000000000002E-3</v>
      </c>
      <c r="I13" s="20"/>
      <c r="J13" s="20"/>
    </row>
    <row r="14" spans="1:10" ht="15.75" x14ac:dyDescent="0.3">
      <c r="A14" s="3" t="s">
        <v>23</v>
      </c>
      <c r="B14" s="20">
        <v>0.91</v>
      </c>
      <c r="C14" s="20">
        <v>0.93</v>
      </c>
      <c r="D14" s="20">
        <v>1.35</v>
      </c>
      <c r="E14" s="20">
        <v>8.0000000000000002E-3</v>
      </c>
      <c r="F14" s="20">
        <v>2.1</v>
      </c>
      <c r="G14" s="20">
        <v>0.19</v>
      </c>
      <c r="H14" s="20">
        <v>8.0000000000000002E-3</v>
      </c>
      <c r="I14" s="20"/>
      <c r="J14" s="20"/>
    </row>
    <row r="15" spans="1:10" ht="15.75" x14ac:dyDescent="0.3">
      <c r="A15" s="3" t="s">
        <v>73</v>
      </c>
      <c r="B15" s="20">
        <v>0.22</v>
      </c>
      <c r="C15" s="4">
        <v>0.1</v>
      </c>
      <c r="D15" s="20">
        <v>1.06</v>
      </c>
      <c r="E15" s="20">
        <v>1.9E-2</v>
      </c>
      <c r="F15" s="20">
        <v>0.4</v>
      </c>
      <c r="G15" s="20">
        <v>0.2</v>
      </c>
      <c r="H15" s="20">
        <v>1.4E-2</v>
      </c>
      <c r="I15" s="20"/>
      <c r="J15" s="20"/>
    </row>
    <row r="16" spans="1:10" ht="15.75" x14ac:dyDescent="0.3">
      <c r="A16" s="3" t="s">
        <v>26</v>
      </c>
      <c r="B16" s="20">
        <v>0.94</v>
      </c>
      <c r="C16" s="20">
        <v>1.07</v>
      </c>
      <c r="D16" s="20">
        <v>1.54</v>
      </c>
      <c r="E16" s="20">
        <v>1.6E-2</v>
      </c>
      <c r="F16" s="20">
        <v>1</v>
      </c>
      <c r="G16" s="20">
        <v>0.1</v>
      </c>
      <c r="H16" s="20"/>
      <c r="I16" s="20"/>
      <c r="J16" s="20"/>
    </row>
    <row r="17" spans="1:10" ht="15.75" x14ac:dyDescent="0.3">
      <c r="A17" s="11" t="s">
        <v>74</v>
      </c>
      <c r="B17" s="11"/>
      <c r="C17" s="11"/>
      <c r="D17" s="11"/>
      <c r="E17" s="11"/>
      <c r="F17" s="11"/>
      <c r="G17" s="11"/>
      <c r="H17" s="11"/>
      <c r="I17" s="11"/>
      <c r="J17" s="11"/>
    </row>
    <row r="18" spans="1:10" ht="15.75" x14ac:dyDescent="0.3">
      <c r="A18" s="13"/>
      <c r="B18" s="12"/>
      <c r="C18" s="12"/>
      <c r="D18" s="12"/>
      <c r="E18" s="12"/>
      <c r="F18" s="12"/>
      <c r="G18" s="12"/>
      <c r="H18" s="12"/>
      <c r="I18" s="12"/>
      <c r="J18" s="12"/>
    </row>
    <row r="19" spans="1:10" ht="15.75" x14ac:dyDescent="0.3">
      <c r="A19" s="21"/>
      <c r="B19" s="21"/>
      <c r="C19" s="21"/>
      <c r="D19" s="21"/>
      <c r="E19" s="21"/>
      <c r="F19" s="21"/>
      <c r="G19" s="21"/>
      <c r="H19" s="21"/>
      <c r="I19" s="21"/>
      <c r="J19" s="21"/>
    </row>
    <row r="20" spans="1:10" ht="15.75" x14ac:dyDescent="0.3">
      <c r="A20" s="14" t="s">
        <v>68</v>
      </c>
      <c r="B20" s="15"/>
      <c r="C20" s="15"/>
      <c r="D20" s="15"/>
      <c r="E20" s="15"/>
      <c r="F20" s="15"/>
      <c r="G20" s="15"/>
      <c r="H20" s="15"/>
      <c r="I20" s="15"/>
      <c r="J20" s="15"/>
    </row>
    <row r="21" spans="1:10" ht="15.75" x14ac:dyDescent="0.3">
      <c r="A21" s="16" t="s">
        <v>69</v>
      </c>
      <c r="B21" s="17"/>
      <c r="C21" s="18"/>
      <c r="D21" s="18"/>
      <c r="E21" s="18"/>
      <c r="F21" s="18"/>
      <c r="G21" s="18"/>
      <c r="H21" s="18"/>
      <c r="I21" s="18"/>
      <c r="J21" s="18"/>
    </row>
    <row r="22" spans="1:10" ht="90" x14ac:dyDescent="0.3">
      <c r="A22" s="1" t="s">
        <v>31</v>
      </c>
      <c r="B22" s="2" t="s">
        <v>32</v>
      </c>
      <c r="C22" s="2" t="s">
        <v>33</v>
      </c>
      <c r="D22" s="2" t="s">
        <v>34</v>
      </c>
      <c r="E22" s="2" t="s">
        <v>3</v>
      </c>
      <c r="F22" s="2" t="s">
        <v>35</v>
      </c>
      <c r="G22" s="2" t="s">
        <v>36</v>
      </c>
      <c r="H22" s="2" t="s">
        <v>37</v>
      </c>
      <c r="I22" s="19"/>
      <c r="J22" s="19"/>
    </row>
    <row r="23" spans="1:10" ht="15.75" x14ac:dyDescent="0.3">
      <c r="A23" s="3" t="s">
        <v>38</v>
      </c>
      <c r="B23" s="4">
        <f t="shared" ref="B23:H23" si="0">B41</f>
        <v>0.94</v>
      </c>
      <c r="C23" s="4">
        <f t="shared" si="0"/>
        <v>1.07</v>
      </c>
      <c r="D23" s="4">
        <f t="shared" si="0"/>
        <v>1.54</v>
      </c>
      <c r="E23" s="5">
        <f t="shared" si="0"/>
        <v>1.6E-2</v>
      </c>
      <c r="F23" s="4">
        <f t="shared" si="0"/>
        <v>1</v>
      </c>
      <c r="G23" s="4">
        <f t="shared" si="0"/>
        <v>0.1</v>
      </c>
      <c r="H23" s="5">
        <f t="shared" si="0"/>
        <v>0</v>
      </c>
      <c r="I23" s="20"/>
      <c r="J23" s="20"/>
    </row>
    <row r="24" spans="1:10" ht="15.75" x14ac:dyDescent="0.3">
      <c r="A24" s="3" t="s">
        <v>18</v>
      </c>
      <c r="B24" s="4">
        <v>1</v>
      </c>
      <c r="C24" s="4">
        <f t="shared" ref="C24:H24" si="1">C6</f>
        <v>0.98</v>
      </c>
      <c r="D24" s="4">
        <f t="shared" si="1"/>
        <v>0.59</v>
      </c>
      <c r="E24" s="5">
        <f t="shared" si="1"/>
        <v>7.0000000000000001E-3</v>
      </c>
      <c r="F24" s="4">
        <f t="shared" si="1"/>
        <v>1.2</v>
      </c>
      <c r="G24" s="4">
        <f t="shared" si="1"/>
        <v>0.22</v>
      </c>
      <c r="H24" s="5">
        <f t="shared" si="1"/>
        <v>1.4E-2</v>
      </c>
      <c r="I24" s="20"/>
      <c r="J24" s="20"/>
    </row>
    <row r="25" spans="1:10" ht="15.75" x14ac:dyDescent="0.3">
      <c r="A25" s="3" t="s">
        <v>39</v>
      </c>
      <c r="B25" s="4">
        <v>1</v>
      </c>
      <c r="C25" s="4">
        <f t="shared" ref="C25:H25" si="2">C13</f>
        <v>1.1299999999999999</v>
      </c>
      <c r="D25" s="4">
        <f t="shared" si="2"/>
        <v>0.85</v>
      </c>
      <c r="E25" s="5">
        <f t="shared" si="2"/>
        <v>8.0000000000000002E-3</v>
      </c>
      <c r="F25" s="4">
        <f t="shared" si="2"/>
        <v>2.1</v>
      </c>
      <c r="G25" s="4">
        <f t="shared" si="2"/>
        <v>0.19</v>
      </c>
      <c r="H25" s="5">
        <f t="shared" si="2"/>
        <v>8.0000000000000002E-3</v>
      </c>
      <c r="I25" s="20"/>
      <c r="J25" s="20"/>
    </row>
    <row r="26" spans="1:10" ht="15.75" x14ac:dyDescent="0.3">
      <c r="A26" s="3" t="s">
        <v>40</v>
      </c>
      <c r="B26" s="4">
        <v>1</v>
      </c>
      <c r="C26" s="4">
        <f t="shared" ref="C26:H26" si="3">C25</f>
        <v>1.1299999999999999</v>
      </c>
      <c r="D26" s="4">
        <f t="shared" si="3"/>
        <v>0.85</v>
      </c>
      <c r="E26" s="5">
        <f t="shared" si="3"/>
        <v>8.0000000000000002E-3</v>
      </c>
      <c r="F26" s="4">
        <f t="shared" si="3"/>
        <v>2.1</v>
      </c>
      <c r="G26" s="4">
        <f t="shared" si="3"/>
        <v>0.19</v>
      </c>
      <c r="H26" s="5">
        <f t="shared" si="3"/>
        <v>8.0000000000000002E-3</v>
      </c>
      <c r="I26" s="20"/>
      <c r="J26" s="20"/>
    </row>
    <row r="27" spans="1:10" ht="15.75" x14ac:dyDescent="0.3">
      <c r="A27" s="3" t="s">
        <v>41</v>
      </c>
      <c r="B27" s="4">
        <f t="shared" ref="B27:H27" si="4">B36</f>
        <v>0.88</v>
      </c>
      <c r="C27" s="4">
        <f t="shared" si="4"/>
        <v>1.0900000000000001</v>
      </c>
      <c r="D27" s="4">
        <f t="shared" si="4"/>
        <v>0.88</v>
      </c>
      <c r="E27" s="5">
        <f t="shared" si="4"/>
        <v>6.0000000000000001E-3</v>
      </c>
      <c r="F27" s="4">
        <f t="shared" si="4"/>
        <v>1.3</v>
      </c>
      <c r="G27" s="4">
        <f t="shared" si="4"/>
        <v>0.22</v>
      </c>
      <c r="H27" s="5">
        <f t="shared" si="4"/>
        <v>8.9999999999999993E-3</v>
      </c>
      <c r="I27" s="20"/>
      <c r="J27" s="20"/>
    </row>
    <row r="28" spans="1:10" ht="15.75" x14ac:dyDescent="0.3">
      <c r="A28" s="3" t="s">
        <v>42</v>
      </c>
      <c r="B28" s="4">
        <v>0.22</v>
      </c>
      <c r="C28" s="4">
        <f t="shared" ref="C28:H28" si="5">C45</f>
        <v>0.1</v>
      </c>
      <c r="D28" s="4">
        <f t="shared" si="5"/>
        <v>1.06</v>
      </c>
      <c r="E28" s="5">
        <f t="shared" si="5"/>
        <v>1.9E-2</v>
      </c>
      <c r="F28" s="4">
        <f t="shared" si="5"/>
        <v>0.4</v>
      </c>
      <c r="G28" s="4">
        <f t="shared" si="5"/>
        <v>0.2</v>
      </c>
      <c r="H28" s="5">
        <f t="shared" si="5"/>
        <v>1.4E-2</v>
      </c>
      <c r="I28" s="20"/>
      <c r="J28" s="20"/>
    </row>
    <row r="29" spans="1:10" ht="15.75" x14ac:dyDescent="0.3">
      <c r="A29" s="3" t="s">
        <v>43</v>
      </c>
      <c r="B29" s="4">
        <v>0.22</v>
      </c>
      <c r="C29" s="4">
        <f t="shared" ref="C29:H29" si="6">C45</f>
        <v>0.1</v>
      </c>
      <c r="D29" s="4">
        <f t="shared" si="6"/>
        <v>1.06</v>
      </c>
      <c r="E29" s="5">
        <f t="shared" si="6"/>
        <v>1.9E-2</v>
      </c>
      <c r="F29" s="4">
        <f t="shared" si="6"/>
        <v>0.4</v>
      </c>
      <c r="G29" s="4">
        <f t="shared" si="6"/>
        <v>0.2</v>
      </c>
      <c r="H29" s="5">
        <f t="shared" si="6"/>
        <v>1.4E-2</v>
      </c>
      <c r="I29" s="20"/>
      <c r="J29" s="20"/>
    </row>
    <row r="30" spans="1:10" ht="15.75" x14ac:dyDescent="0.3">
      <c r="A30" s="6" t="s">
        <v>44</v>
      </c>
      <c r="B30" s="4">
        <f t="shared" ref="B30:H30" si="7">B36</f>
        <v>0.88</v>
      </c>
      <c r="C30" s="4">
        <f t="shared" si="7"/>
        <v>1.0900000000000001</v>
      </c>
      <c r="D30" s="4">
        <f t="shared" si="7"/>
        <v>0.88</v>
      </c>
      <c r="E30" s="5">
        <f t="shared" si="7"/>
        <v>6.0000000000000001E-3</v>
      </c>
      <c r="F30" s="4">
        <f t="shared" si="7"/>
        <v>1.3</v>
      </c>
      <c r="G30" s="4">
        <f t="shared" si="7"/>
        <v>0.22</v>
      </c>
      <c r="H30" s="5">
        <f t="shared" si="7"/>
        <v>8.9999999999999993E-3</v>
      </c>
      <c r="I30" s="19"/>
      <c r="J30" s="19"/>
    </row>
    <row r="31" spans="1:10" ht="15.75" x14ac:dyDescent="0.3">
      <c r="A31" s="3" t="s">
        <v>45</v>
      </c>
      <c r="B31" s="4">
        <f t="shared" ref="B31:H31" si="8">B26</f>
        <v>1</v>
      </c>
      <c r="C31" s="4">
        <f t="shared" si="8"/>
        <v>1.1299999999999999</v>
      </c>
      <c r="D31" s="4">
        <f t="shared" si="8"/>
        <v>0.85</v>
      </c>
      <c r="E31" s="5">
        <f t="shared" si="8"/>
        <v>8.0000000000000002E-3</v>
      </c>
      <c r="F31" s="4">
        <f t="shared" si="8"/>
        <v>2.1</v>
      </c>
      <c r="G31" s="4">
        <f t="shared" si="8"/>
        <v>0.19</v>
      </c>
      <c r="H31" s="5">
        <f t="shared" si="8"/>
        <v>8.0000000000000002E-3</v>
      </c>
      <c r="I31" s="20"/>
      <c r="J31" s="20"/>
    </row>
    <row r="32" spans="1:10" ht="15.75" x14ac:dyDescent="0.3">
      <c r="A32" s="3" t="s">
        <v>46</v>
      </c>
      <c r="B32" s="4">
        <v>0.22</v>
      </c>
      <c r="C32" s="4">
        <f t="shared" ref="C32:H32" si="9">C45</f>
        <v>0.1</v>
      </c>
      <c r="D32" s="4">
        <f t="shared" si="9"/>
        <v>1.06</v>
      </c>
      <c r="E32" s="5">
        <f t="shared" si="9"/>
        <v>1.9E-2</v>
      </c>
      <c r="F32" s="4">
        <f t="shared" si="9"/>
        <v>0.4</v>
      </c>
      <c r="G32" s="4">
        <f t="shared" si="9"/>
        <v>0.2</v>
      </c>
      <c r="H32" s="5">
        <f t="shared" si="9"/>
        <v>1.4E-2</v>
      </c>
      <c r="I32" s="20"/>
      <c r="J32" s="20"/>
    </row>
    <row r="33" spans="1:10" ht="15.75" x14ac:dyDescent="0.3">
      <c r="A33" s="3" t="s">
        <v>47</v>
      </c>
      <c r="B33" s="4">
        <f t="shared" ref="B33:H33" si="10">B26</f>
        <v>1</v>
      </c>
      <c r="C33" s="4">
        <f t="shared" si="10"/>
        <v>1.1299999999999999</v>
      </c>
      <c r="D33" s="4">
        <f t="shared" si="10"/>
        <v>0.85</v>
      </c>
      <c r="E33" s="5">
        <f t="shared" si="10"/>
        <v>8.0000000000000002E-3</v>
      </c>
      <c r="F33" s="4">
        <f t="shared" si="10"/>
        <v>2.1</v>
      </c>
      <c r="G33" s="4">
        <f t="shared" si="10"/>
        <v>0.19</v>
      </c>
      <c r="H33" s="5">
        <f t="shared" si="10"/>
        <v>8.0000000000000002E-3</v>
      </c>
      <c r="I33" s="20"/>
      <c r="J33" s="20"/>
    </row>
    <row r="34" spans="1:10" ht="15.75" x14ac:dyDescent="0.3">
      <c r="A34" s="3" t="s">
        <v>48</v>
      </c>
      <c r="B34" s="4">
        <f t="shared" ref="B34:H34" si="11">B10</f>
        <v>0.89</v>
      </c>
      <c r="C34" s="4">
        <f t="shared" si="11"/>
        <v>0.95</v>
      </c>
      <c r="D34" s="4">
        <f t="shared" si="11"/>
        <v>2.46</v>
      </c>
      <c r="E34" s="5">
        <f t="shared" si="11"/>
        <v>7.0000000000000001E-3</v>
      </c>
      <c r="F34" s="4">
        <f t="shared" si="11"/>
        <v>1.4</v>
      </c>
      <c r="G34" s="4">
        <f t="shared" si="11"/>
        <v>0.16</v>
      </c>
      <c r="H34" s="5">
        <f t="shared" si="11"/>
        <v>0</v>
      </c>
      <c r="I34" s="20"/>
      <c r="J34" s="20"/>
    </row>
    <row r="35" spans="1:10" ht="15.75" x14ac:dyDescent="0.3">
      <c r="A35" s="3" t="s">
        <v>49</v>
      </c>
      <c r="B35" s="4">
        <f t="shared" ref="B35:H35" si="12">B36</f>
        <v>0.88</v>
      </c>
      <c r="C35" s="4">
        <f t="shared" si="12"/>
        <v>1.0900000000000001</v>
      </c>
      <c r="D35" s="4">
        <f t="shared" si="12"/>
        <v>0.88</v>
      </c>
      <c r="E35" s="5">
        <f t="shared" si="12"/>
        <v>6.0000000000000001E-3</v>
      </c>
      <c r="F35" s="4">
        <f t="shared" si="12"/>
        <v>1.3</v>
      </c>
      <c r="G35" s="4">
        <f t="shared" si="12"/>
        <v>0.22</v>
      </c>
      <c r="H35" s="5">
        <f t="shared" si="12"/>
        <v>8.9999999999999993E-3</v>
      </c>
      <c r="I35" s="20"/>
      <c r="J35" s="20"/>
    </row>
    <row r="36" spans="1:10" ht="15.75" x14ac:dyDescent="0.3">
      <c r="A36" s="3" t="s">
        <v>50</v>
      </c>
      <c r="B36" s="4">
        <f t="shared" ref="B36:H36" si="13">B4</f>
        <v>0.88</v>
      </c>
      <c r="C36" s="4">
        <f t="shared" si="13"/>
        <v>1.0900000000000001</v>
      </c>
      <c r="D36" s="4">
        <f t="shared" si="13"/>
        <v>0.88</v>
      </c>
      <c r="E36" s="5">
        <f t="shared" si="13"/>
        <v>6.0000000000000001E-3</v>
      </c>
      <c r="F36" s="4">
        <f t="shared" si="13"/>
        <v>1.3</v>
      </c>
      <c r="G36" s="4">
        <f t="shared" si="13"/>
        <v>0.22</v>
      </c>
      <c r="H36" s="5">
        <f t="shared" si="13"/>
        <v>8.9999999999999993E-3</v>
      </c>
      <c r="I36" s="19"/>
      <c r="J36" s="19"/>
    </row>
    <row r="37" spans="1:10" ht="15.75" x14ac:dyDescent="0.3">
      <c r="A37" s="3" t="s">
        <v>51</v>
      </c>
      <c r="B37" s="4">
        <f t="shared" ref="B37:H37" si="14">B26</f>
        <v>1</v>
      </c>
      <c r="C37" s="4">
        <f t="shared" si="14"/>
        <v>1.1299999999999999</v>
      </c>
      <c r="D37" s="4">
        <f t="shared" si="14"/>
        <v>0.85</v>
      </c>
      <c r="E37" s="5">
        <f t="shared" si="14"/>
        <v>8.0000000000000002E-3</v>
      </c>
      <c r="F37" s="4">
        <f t="shared" si="14"/>
        <v>2.1</v>
      </c>
      <c r="G37" s="4">
        <f t="shared" si="14"/>
        <v>0.19</v>
      </c>
      <c r="H37" s="5">
        <f t="shared" si="14"/>
        <v>8.0000000000000002E-3</v>
      </c>
      <c r="I37" s="20"/>
      <c r="J37" s="20"/>
    </row>
    <row r="38" spans="1:10" ht="15.75" x14ac:dyDescent="0.3">
      <c r="A38" s="3" t="s">
        <v>13</v>
      </c>
      <c r="B38" s="4">
        <v>1</v>
      </c>
      <c r="C38" s="4">
        <f t="shared" ref="C38:H38" si="15">C8</f>
        <v>1.03</v>
      </c>
      <c r="D38" s="4">
        <f t="shared" si="15"/>
        <v>0.61</v>
      </c>
      <c r="E38" s="5">
        <f t="shared" si="15"/>
        <v>6.0000000000000001E-3</v>
      </c>
      <c r="F38" s="4">
        <f t="shared" si="15"/>
        <v>1</v>
      </c>
      <c r="G38" s="4">
        <f t="shared" si="15"/>
        <v>0.22</v>
      </c>
      <c r="H38" s="5">
        <f t="shared" si="15"/>
        <v>7.0000000000000001E-3</v>
      </c>
      <c r="I38" s="20"/>
      <c r="J38" s="20"/>
    </row>
    <row r="39" spans="1:10" ht="15.75" x14ac:dyDescent="0.3">
      <c r="A39" s="3" t="s">
        <v>20</v>
      </c>
      <c r="B39" s="4">
        <v>1</v>
      </c>
      <c r="C39" s="4">
        <f t="shared" ref="C39:H39" si="16">C11</f>
        <v>1.43</v>
      </c>
      <c r="D39" s="4">
        <f t="shared" si="16"/>
        <v>0.14000000000000001</v>
      </c>
      <c r="E39" s="5">
        <f t="shared" si="16"/>
        <v>7.0000000000000001E-3</v>
      </c>
      <c r="F39" s="4">
        <f t="shared" si="16"/>
        <v>1.4</v>
      </c>
      <c r="G39" s="4">
        <f t="shared" si="16"/>
        <v>0</v>
      </c>
      <c r="H39" s="5">
        <f t="shared" si="16"/>
        <v>0</v>
      </c>
      <c r="I39" s="20"/>
      <c r="J39" s="20"/>
    </row>
    <row r="40" spans="1:10" ht="15.75" x14ac:dyDescent="0.3">
      <c r="A40" s="3" t="s">
        <v>19</v>
      </c>
      <c r="B40" s="4">
        <v>1</v>
      </c>
      <c r="C40" s="4">
        <f t="shared" ref="C40:H40" si="17">C7</f>
        <v>0.91</v>
      </c>
      <c r="D40" s="4">
        <f t="shared" si="17"/>
        <v>0.89</v>
      </c>
      <c r="E40" s="5">
        <f t="shared" si="17"/>
        <v>7.0000000000000001E-3</v>
      </c>
      <c r="F40" s="4">
        <f t="shared" si="17"/>
        <v>1.3</v>
      </c>
      <c r="G40" s="4">
        <f t="shared" si="17"/>
        <v>0.25</v>
      </c>
      <c r="H40" s="5">
        <f t="shared" si="17"/>
        <v>8.0000000000000002E-3</v>
      </c>
      <c r="I40" s="20"/>
      <c r="J40" s="20"/>
    </row>
    <row r="41" spans="1:10" ht="15.75" x14ac:dyDescent="0.3">
      <c r="A41" s="6" t="s">
        <v>26</v>
      </c>
      <c r="B41" s="4">
        <f t="shared" ref="B41:H41" si="18">B16</f>
        <v>0.94</v>
      </c>
      <c r="C41" s="4">
        <f t="shared" si="18"/>
        <v>1.07</v>
      </c>
      <c r="D41" s="4">
        <f t="shared" si="18"/>
        <v>1.54</v>
      </c>
      <c r="E41" s="5">
        <f t="shared" si="18"/>
        <v>1.6E-2</v>
      </c>
      <c r="F41" s="4">
        <f t="shared" si="18"/>
        <v>1</v>
      </c>
      <c r="G41" s="4">
        <f t="shared" si="18"/>
        <v>0.1</v>
      </c>
      <c r="H41" s="5">
        <f t="shared" si="18"/>
        <v>0</v>
      </c>
      <c r="I41" s="20"/>
      <c r="J41" s="20"/>
    </row>
    <row r="42" spans="1:10" ht="15.75" x14ac:dyDescent="0.3">
      <c r="A42" s="3" t="s">
        <v>52</v>
      </c>
      <c r="B42" s="4">
        <f t="shared" ref="B42:H42" si="19">B26</f>
        <v>1</v>
      </c>
      <c r="C42" s="4">
        <f t="shared" si="19"/>
        <v>1.1299999999999999</v>
      </c>
      <c r="D42" s="4">
        <f t="shared" si="19"/>
        <v>0.85</v>
      </c>
      <c r="E42" s="5">
        <f t="shared" si="19"/>
        <v>8.0000000000000002E-3</v>
      </c>
      <c r="F42" s="4">
        <f t="shared" si="19"/>
        <v>2.1</v>
      </c>
      <c r="G42" s="4">
        <f t="shared" si="19"/>
        <v>0.19</v>
      </c>
      <c r="H42" s="5">
        <f t="shared" si="19"/>
        <v>8.0000000000000002E-3</v>
      </c>
      <c r="I42" s="20"/>
      <c r="J42" s="20"/>
    </row>
    <row r="43" spans="1:10" ht="15.75" x14ac:dyDescent="0.3">
      <c r="A43" s="3" t="s">
        <v>53</v>
      </c>
      <c r="B43" s="4">
        <f t="shared" ref="B43:H43" si="20">B26</f>
        <v>1</v>
      </c>
      <c r="C43" s="4">
        <f t="shared" si="20"/>
        <v>1.1299999999999999</v>
      </c>
      <c r="D43" s="4">
        <f t="shared" si="20"/>
        <v>0.85</v>
      </c>
      <c r="E43" s="5">
        <f t="shared" si="20"/>
        <v>8.0000000000000002E-3</v>
      </c>
      <c r="F43" s="4">
        <f t="shared" si="20"/>
        <v>2.1</v>
      </c>
      <c r="G43" s="4">
        <f t="shared" si="20"/>
        <v>0.19</v>
      </c>
      <c r="H43" s="5">
        <f t="shared" si="20"/>
        <v>8.0000000000000002E-3</v>
      </c>
      <c r="I43" s="20"/>
      <c r="J43" s="20"/>
    </row>
    <row r="44" spans="1:10" ht="15.75" x14ac:dyDescent="0.3">
      <c r="A44" s="3" t="s">
        <v>54</v>
      </c>
      <c r="B44" s="4">
        <v>0.9</v>
      </c>
      <c r="C44" s="4">
        <v>0.3</v>
      </c>
      <c r="D44" s="4">
        <v>0</v>
      </c>
      <c r="E44" s="5">
        <v>1.4999999999999999E-2</v>
      </c>
      <c r="F44" s="5">
        <v>0.3</v>
      </c>
      <c r="G44" s="4">
        <v>0.8</v>
      </c>
      <c r="H44" s="5">
        <v>1.2E-2</v>
      </c>
      <c r="I44" s="20"/>
      <c r="J44" s="20"/>
    </row>
    <row r="45" spans="1:10" ht="15.75" x14ac:dyDescent="0.3">
      <c r="A45" s="3" t="s">
        <v>25</v>
      </c>
      <c r="B45" s="4">
        <f t="shared" ref="B45:H45" si="21">B15</f>
        <v>0.22</v>
      </c>
      <c r="C45" s="4">
        <f t="shared" si="21"/>
        <v>0.1</v>
      </c>
      <c r="D45" s="4">
        <f t="shared" si="21"/>
        <v>1.06</v>
      </c>
      <c r="E45" s="5">
        <f t="shared" si="21"/>
        <v>1.9E-2</v>
      </c>
      <c r="F45" s="4">
        <f t="shared" si="21"/>
        <v>0.4</v>
      </c>
      <c r="G45" s="4">
        <f t="shared" si="21"/>
        <v>0.2</v>
      </c>
      <c r="H45" s="5">
        <f t="shared" si="21"/>
        <v>1.4E-2</v>
      </c>
      <c r="I45" s="19"/>
      <c r="J45" s="19"/>
    </row>
    <row r="46" spans="1:10" ht="15.75" x14ac:dyDescent="0.3">
      <c r="A46" s="6" t="s">
        <v>55</v>
      </c>
      <c r="B46" s="4">
        <f t="shared" ref="B46:H46" si="22">B26</f>
        <v>1</v>
      </c>
      <c r="C46" s="4">
        <f t="shared" si="22"/>
        <v>1.1299999999999999</v>
      </c>
      <c r="D46" s="4">
        <f t="shared" si="22"/>
        <v>0.85</v>
      </c>
      <c r="E46" s="5">
        <f t="shared" si="22"/>
        <v>8.0000000000000002E-3</v>
      </c>
      <c r="F46" s="4">
        <f t="shared" si="22"/>
        <v>2.1</v>
      </c>
      <c r="G46" s="4">
        <f t="shared" si="22"/>
        <v>0.19</v>
      </c>
      <c r="H46" s="5">
        <f t="shared" si="22"/>
        <v>8.0000000000000002E-3</v>
      </c>
      <c r="I46" s="20"/>
      <c r="J46" s="20"/>
    </row>
    <row r="47" spans="1:10" ht="15.75" x14ac:dyDescent="0.3">
      <c r="A47" s="3" t="s">
        <v>56</v>
      </c>
      <c r="B47" s="4">
        <f t="shared" ref="B47:H47" si="23">B36</f>
        <v>0.88</v>
      </c>
      <c r="C47" s="4">
        <f t="shared" si="23"/>
        <v>1.0900000000000001</v>
      </c>
      <c r="D47" s="4">
        <f t="shared" si="23"/>
        <v>0.88</v>
      </c>
      <c r="E47" s="5">
        <f t="shared" si="23"/>
        <v>6.0000000000000001E-3</v>
      </c>
      <c r="F47" s="4">
        <f t="shared" si="23"/>
        <v>1.3</v>
      </c>
      <c r="G47" s="4">
        <f t="shared" si="23"/>
        <v>0.22</v>
      </c>
      <c r="H47" s="5">
        <f t="shared" si="23"/>
        <v>8.9999999999999993E-3</v>
      </c>
      <c r="I47" s="20"/>
      <c r="J47" s="20"/>
    </row>
    <row r="48" spans="1:10" ht="15.75" x14ac:dyDescent="0.3">
      <c r="A48" s="3" t="s">
        <v>57</v>
      </c>
      <c r="B48" s="4">
        <f t="shared" ref="B48:H48" si="24">B34</f>
        <v>0.89</v>
      </c>
      <c r="C48" s="4">
        <f t="shared" si="24"/>
        <v>0.95</v>
      </c>
      <c r="D48" s="4">
        <f t="shared" si="24"/>
        <v>2.46</v>
      </c>
      <c r="E48" s="5">
        <f t="shared" si="24"/>
        <v>7.0000000000000001E-3</v>
      </c>
      <c r="F48" s="4">
        <f t="shared" si="24"/>
        <v>1.4</v>
      </c>
      <c r="G48" s="4">
        <f t="shared" si="24"/>
        <v>0.16</v>
      </c>
      <c r="H48" s="5">
        <f t="shared" si="24"/>
        <v>0</v>
      </c>
      <c r="I48" s="20"/>
      <c r="J48" s="20"/>
    </row>
    <row r="49" spans="1:10" ht="15.75" x14ac:dyDescent="0.3">
      <c r="A49" s="3" t="s">
        <v>58</v>
      </c>
      <c r="B49" s="4">
        <v>0.22</v>
      </c>
      <c r="C49" s="4">
        <f t="shared" ref="C49:H49" si="25">C45</f>
        <v>0.1</v>
      </c>
      <c r="D49" s="4">
        <f t="shared" si="25"/>
        <v>1.06</v>
      </c>
      <c r="E49" s="5">
        <f t="shared" si="25"/>
        <v>1.9E-2</v>
      </c>
      <c r="F49" s="4">
        <f t="shared" si="25"/>
        <v>0.4</v>
      </c>
      <c r="G49" s="4">
        <f t="shared" si="25"/>
        <v>0.2</v>
      </c>
      <c r="H49" s="5">
        <f t="shared" si="25"/>
        <v>1.4E-2</v>
      </c>
      <c r="I49" s="20"/>
      <c r="J49" s="20"/>
    </row>
    <row r="50" spans="1:10" ht="15.75" x14ac:dyDescent="0.3">
      <c r="A50" s="3" t="s">
        <v>22</v>
      </c>
      <c r="B50" s="4">
        <v>1</v>
      </c>
      <c r="C50" s="4">
        <f t="shared" ref="C50:H50" si="26">C9</f>
        <v>1.0900000000000001</v>
      </c>
      <c r="D50" s="4">
        <f t="shared" si="26"/>
        <v>0.88</v>
      </c>
      <c r="E50" s="5">
        <f t="shared" si="26"/>
        <v>5.0000000000000001E-3</v>
      </c>
      <c r="F50" s="4">
        <f t="shared" si="26"/>
        <v>1.6</v>
      </c>
      <c r="G50" s="4">
        <f t="shared" si="26"/>
        <v>0</v>
      </c>
      <c r="H50" s="5">
        <f t="shared" si="26"/>
        <v>1.0999999999999999E-2</v>
      </c>
      <c r="I50" s="20"/>
      <c r="J50" s="20"/>
    </row>
    <row r="51" spans="1:10" ht="15.75" x14ac:dyDescent="0.3">
      <c r="A51" s="3" t="s">
        <v>21</v>
      </c>
      <c r="B51" s="4">
        <f t="shared" ref="B51:H51" si="27">B12</f>
        <v>0.89</v>
      </c>
      <c r="C51" s="4">
        <f t="shared" si="27"/>
        <v>0.88</v>
      </c>
      <c r="D51" s="4">
        <f t="shared" si="27"/>
        <v>1.33</v>
      </c>
      <c r="E51" s="5">
        <f t="shared" si="27"/>
        <v>7.0000000000000001E-3</v>
      </c>
      <c r="F51" s="4">
        <f t="shared" si="27"/>
        <v>1.4</v>
      </c>
      <c r="G51" s="4">
        <f t="shared" si="27"/>
        <v>0</v>
      </c>
      <c r="H51" s="5">
        <f t="shared" si="27"/>
        <v>6.0000000000000001E-3</v>
      </c>
      <c r="I51" s="20"/>
      <c r="J51" s="20"/>
    </row>
    <row r="52" spans="1:10" ht="15.75" x14ac:dyDescent="0.3">
      <c r="A52" s="3" t="s">
        <v>23</v>
      </c>
      <c r="B52" s="4">
        <f t="shared" ref="B52:H52" si="28">B14</f>
        <v>0.91</v>
      </c>
      <c r="C52" s="4">
        <f t="shared" si="28"/>
        <v>0.93</v>
      </c>
      <c r="D52" s="4">
        <f t="shared" si="28"/>
        <v>1.35</v>
      </c>
      <c r="E52" s="5">
        <f t="shared" si="28"/>
        <v>8.0000000000000002E-3</v>
      </c>
      <c r="F52" s="4">
        <f t="shared" si="28"/>
        <v>2.1</v>
      </c>
      <c r="G52" s="4">
        <f t="shared" si="28"/>
        <v>0.19</v>
      </c>
      <c r="H52" s="5">
        <f t="shared" si="28"/>
        <v>8.0000000000000002E-3</v>
      </c>
      <c r="I52" s="19"/>
      <c r="J52" s="19"/>
    </row>
    <row r="53" spans="1:10" ht="15.75" x14ac:dyDescent="0.3">
      <c r="A53" s="6" t="s">
        <v>59</v>
      </c>
      <c r="B53" s="4">
        <f t="shared" ref="B53:H53" si="29">B26</f>
        <v>1</v>
      </c>
      <c r="C53" s="4">
        <f t="shared" si="29"/>
        <v>1.1299999999999999</v>
      </c>
      <c r="D53" s="4">
        <f t="shared" si="29"/>
        <v>0.85</v>
      </c>
      <c r="E53" s="5">
        <f t="shared" si="29"/>
        <v>8.0000000000000002E-3</v>
      </c>
      <c r="F53" s="4">
        <f t="shared" si="29"/>
        <v>2.1</v>
      </c>
      <c r="G53" s="4">
        <f t="shared" si="29"/>
        <v>0.19</v>
      </c>
      <c r="H53" s="5">
        <f t="shared" si="29"/>
        <v>8.0000000000000002E-3</v>
      </c>
      <c r="I53" s="20"/>
      <c r="J53" s="20"/>
    </row>
    <row r="54" spans="1:10" ht="15.75" x14ac:dyDescent="0.3">
      <c r="A54" s="3" t="s">
        <v>60</v>
      </c>
      <c r="B54" s="4">
        <f t="shared" ref="B54:H54" si="30">B49</f>
        <v>0.22</v>
      </c>
      <c r="C54" s="4">
        <f t="shared" si="30"/>
        <v>0.1</v>
      </c>
      <c r="D54" s="4">
        <f t="shared" si="30"/>
        <v>1.06</v>
      </c>
      <c r="E54" s="5">
        <f t="shared" si="30"/>
        <v>1.9E-2</v>
      </c>
      <c r="F54" s="4">
        <f t="shared" si="30"/>
        <v>0.4</v>
      </c>
      <c r="G54" s="4">
        <f t="shared" si="30"/>
        <v>0.2</v>
      </c>
      <c r="H54" s="5">
        <f t="shared" si="30"/>
        <v>1.4E-2</v>
      </c>
      <c r="I54" s="20"/>
      <c r="J54" s="20"/>
    </row>
    <row r="55" spans="1:10" ht="15.75" x14ac:dyDescent="0.3">
      <c r="A55" s="3" t="s">
        <v>61</v>
      </c>
      <c r="B55" s="4">
        <v>0.9</v>
      </c>
      <c r="C55" s="4">
        <v>0.3</v>
      </c>
      <c r="D55" s="4">
        <v>0</v>
      </c>
      <c r="E55" s="5">
        <v>1.4999999999999999E-2</v>
      </c>
      <c r="F55" s="5">
        <v>0.3</v>
      </c>
      <c r="G55" s="4">
        <v>0.8</v>
      </c>
      <c r="H55" s="5">
        <v>1.2E-2</v>
      </c>
      <c r="I55" s="20"/>
      <c r="J55" s="20"/>
    </row>
    <row r="56" spans="1:10" ht="15.75" x14ac:dyDescent="0.3">
      <c r="A56" s="3" t="s">
        <v>62</v>
      </c>
      <c r="B56" s="4">
        <f t="shared" ref="B56:H56" si="31">B45</f>
        <v>0.22</v>
      </c>
      <c r="C56" s="4">
        <f t="shared" si="31"/>
        <v>0.1</v>
      </c>
      <c r="D56" s="4">
        <f t="shared" si="31"/>
        <v>1.06</v>
      </c>
      <c r="E56" s="5">
        <f t="shared" si="31"/>
        <v>1.9E-2</v>
      </c>
      <c r="F56" s="4">
        <f t="shared" si="31"/>
        <v>0.4</v>
      </c>
      <c r="G56" s="4">
        <f t="shared" si="31"/>
        <v>0.2</v>
      </c>
      <c r="H56" s="5">
        <f t="shared" si="31"/>
        <v>1.4E-2</v>
      </c>
      <c r="I56" s="20"/>
      <c r="J56" s="20"/>
    </row>
    <row r="57" spans="1:10" ht="15.75" x14ac:dyDescent="0.3">
      <c r="A57" s="3" t="s">
        <v>63</v>
      </c>
      <c r="B57" s="4">
        <v>0.1</v>
      </c>
      <c r="C57" s="4">
        <v>0.1</v>
      </c>
      <c r="D57" s="4">
        <v>0.1</v>
      </c>
      <c r="E57" s="5">
        <v>0.1</v>
      </c>
      <c r="F57" s="4">
        <v>0.1</v>
      </c>
      <c r="G57" s="4">
        <v>0.1</v>
      </c>
      <c r="H57" s="5">
        <v>0.1</v>
      </c>
      <c r="I57" s="20"/>
      <c r="J57" s="20"/>
    </row>
    <row r="58" spans="1:10" ht="15.75" x14ac:dyDescent="0.3">
      <c r="A58" s="3" t="s">
        <v>64</v>
      </c>
      <c r="B58" s="4">
        <f t="shared" ref="B58:H58" si="32">B36</f>
        <v>0.88</v>
      </c>
      <c r="C58" s="4">
        <f t="shared" si="32"/>
        <v>1.0900000000000001</v>
      </c>
      <c r="D58" s="4">
        <f t="shared" si="32"/>
        <v>0.88</v>
      </c>
      <c r="E58" s="5">
        <f t="shared" si="32"/>
        <v>6.0000000000000001E-3</v>
      </c>
      <c r="F58" s="4">
        <f t="shared" si="32"/>
        <v>1.3</v>
      </c>
      <c r="G58" s="4">
        <f t="shared" si="32"/>
        <v>0.22</v>
      </c>
      <c r="H58" s="5">
        <f t="shared" si="32"/>
        <v>8.9999999999999993E-3</v>
      </c>
      <c r="I58" s="20"/>
      <c r="J58" s="20"/>
    </row>
    <row r="59" spans="1:10" ht="15.75" x14ac:dyDescent="0.3">
      <c r="A59" s="3" t="s">
        <v>14</v>
      </c>
      <c r="B59" s="4">
        <v>1</v>
      </c>
      <c r="C59" s="4">
        <f t="shared" ref="C59:H59" si="33">C5</f>
        <v>1.51</v>
      </c>
      <c r="D59" s="4">
        <f t="shared" si="33"/>
        <v>0.52</v>
      </c>
      <c r="E59" s="5">
        <f t="shared" si="33"/>
        <v>6.0000000000000001E-3</v>
      </c>
      <c r="F59" s="4">
        <f t="shared" si="33"/>
        <v>1.3</v>
      </c>
      <c r="G59" s="4">
        <f t="shared" si="33"/>
        <v>0.255</v>
      </c>
      <c r="H59" s="5">
        <f t="shared" si="33"/>
        <v>8.9999999999999993E-3</v>
      </c>
      <c r="I59" s="20"/>
      <c r="J59" s="20"/>
    </row>
    <row r="60" spans="1:10" ht="15.75" x14ac:dyDescent="0.3">
      <c r="A60" s="7" t="s">
        <v>65</v>
      </c>
      <c r="B60" s="8">
        <f t="shared" ref="B60:H60" si="34">B45</f>
        <v>0.22</v>
      </c>
      <c r="C60" s="8">
        <f t="shared" si="34"/>
        <v>0.1</v>
      </c>
      <c r="D60" s="8">
        <f t="shared" si="34"/>
        <v>1.06</v>
      </c>
      <c r="E60" s="9">
        <f t="shared" si="34"/>
        <v>1.9E-2</v>
      </c>
      <c r="F60" s="8">
        <f t="shared" si="34"/>
        <v>0.4</v>
      </c>
      <c r="G60" s="8">
        <f t="shared" si="34"/>
        <v>0.2</v>
      </c>
      <c r="H60" s="10">
        <f t="shared" si="34"/>
        <v>1.4E-2</v>
      </c>
      <c r="I60" s="22"/>
      <c r="J60" s="22"/>
    </row>
    <row r="61" spans="1:10" ht="15.75" x14ac:dyDescent="0.3">
      <c r="A61" s="11" t="s">
        <v>66</v>
      </c>
      <c r="B61" s="11"/>
      <c r="C61" s="11"/>
      <c r="D61" s="11"/>
      <c r="E61" s="11"/>
      <c r="F61" s="11"/>
      <c r="G61" s="11"/>
      <c r="H61" s="11"/>
      <c r="I61" s="12"/>
      <c r="J61" s="12"/>
    </row>
    <row r="62" spans="1:10" ht="15.75" x14ac:dyDescent="0.3">
      <c r="A62" s="12" t="s">
        <v>67</v>
      </c>
      <c r="B62" s="13"/>
      <c r="C62" s="13"/>
      <c r="D62" s="13"/>
      <c r="E62" s="13"/>
      <c r="F62" s="13"/>
      <c r="G62" s="13"/>
      <c r="H62" s="13"/>
      <c r="I62" s="13"/>
      <c r="J62"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B8151-D4CC-42FC-82EB-02AF661AE57D}">
  <dimension ref="A1:J334"/>
  <sheetViews>
    <sheetView topLeftCell="A24" workbookViewId="0">
      <selection activeCell="B13" sqref="B13"/>
    </sheetView>
  </sheetViews>
  <sheetFormatPr defaultRowHeight="15" x14ac:dyDescent="0.25"/>
  <cols>
    <col min="1" max="1" width="37.5703125" customWidth="1"/>
    <col min="2" max="2" width="19.140625" customWidth="1"/>
    <col min="3" max="3" width="27.7109375" customWidth="1"/>
    <col min="4" max="4" width="22" customWidth="1"/>
    <col min="5" max="5" width="27.28515625" customWidth="1"/>
    <col min="6" max="6" width="22.28515625" customWidth="1"/>
    <col min="7" max="7" width="29.140625" customWidth="1"/>
    <col min="8" max="8" width="19.85546875" customWidth="1"/>
    <col min="9" max="9" width="23.5703125" customWidth="1"/>
    <col min="10" max="10" width="32.28515625" customWidth="1"/>
  </cols>
  <sheetData>
    <row r="1" spans="1:10" x14ac:dyDescent="0.25">
      <c r="A1" t="s">
        <v>75</v>
      </c>
      <c r="B1" t="s">
        <v>76</v>
      </c>
      <c r="C1" t="s">
        <v>77</v>
      </c>
      <c r="D1" t="s">
        <v>32</v>
      </c>
      <c r="E1" t="s">
        <v>33</v>
      </c>
      <c r="F1" t="s">
        <v>34</v>
      </c>
      <c r="G1" t="s">
        <v>3</v>
      </c>
      <c r="H1" t="s">
        <v>35</v>
      </c>
      <c r="I1" t="s">
        <v>36</v>
      </c>
      <c r="J1" t="s">
        <v>37</v>
      </c>
    </row>
    <row r="2" spans="1:10" ht="15.75" x14ac:dyDescent="0.3">
      <c r="A2" t="s">
        <v>6</v>
      </c>
      <c r="B2" t="s">
        <v>79</v>
      </c>
      <c r="C2" t="s">
        <v>79</v>
      </c>
      <c r="D2" s="20">
        <v>0.88</v>
      </c>
      <c r="E2" s="20">
        <v>1.0900000000000001</v>
      </c>
      <c r="F2" s="20">
        <v>0.88</v>
      </c>
      <c r="G2" s="20">
        <v>6.0000000000000001E-3</v>
      </c>
      <c r="H2" s="20">
        <v>1.3</v>
      </c>
      <c r="I2" s="20">
        <v>0.22</v>
      </c>
      <c r="J2" s="20">
        <v>8.9999999999999993E-3</v>
      </c>
    </row>
    <row r="3" spans="1:10" x14ac:dyDescent="0.25">
      <c r="A3" t="s">
        <v>78</v>
      </c>
      <c r="B3" t="s">
        <v>79</v>
      </c>
      <c r="C3" t="s">
        <v>80</v>
      </c>
      <c r="D3" t="e">
        <f>IF(B3="yes",VLOOKUP(A3,'FAO crop mapping'!$A$22:$H$60,2,FALSE), "")</f>
        <v>#N/A</v>
      </c>
      <c r="E3" t="e">
        <f>IF(B3="yes",VLOOKUP(A3,'FAO crop mapping'!$A$22:$H$60,3,FALSE), "")</f>
        <v>#N/A</v>
      </c>
      <c r="F3" t="e">
        <f>IF(B3="yes",VLOOKUP(A3,'FAO crop mapping'!$A$22:$H$60,4,FALSE), "")</f>
        <v>#N/A</v>
      </c>
      <c r="G3" t="e">
        <f>IF(B3="yes",VLOOKUP(A3,'FAO crop mapping'!$A$22:$H$60,5,FALSE), "")</f>
        <v>#N/A</v>
      </c>
      <c r="H3" t="str">
        <f>IF(B4="yes",VLOOKUP(A4,'FAO crop mapping'!$A$22:$H$60,6,FALSE), "")</f>
        <v/>
      </c>
      <c r="I3" t="str">
        <f>IF(B4="yes",VLOOKUP(A4,'FAO crop mapping'!$A$22:$H$60,7,FALSE), "")</f>
        <v/>
      </c>
      <c r="J3" t="str">
        <f>IF(B4="yes",VLOOKUP(A4,'FAO crop mapping'!$A$22:$H$60,8,FALSE), "")</f>
        <v/>
      </c>
    </row>
    <row r="4" spans="1:10" x14ac:dyDescent="0.25">
      <c r="A4" t="s">
        <v>81</v>
      </c>
      <c r="B4" t="s">
        <v>80</v>
      </c>
      <c r="C4" t="s">
        <v>80</v>
      </c>
      <c r="D4" t="str">
        <f>IF(B4="yes",VLOOKUP(A4,'FAO crop mapping'!$A$22:$H$60,2,FALSE), "")</f>
        <v/>
      </c>
      <c r="E4" t="str">
        <f>IF(B4="yes",VLOOKUP(A4,'FAO crop mapping'!$A$22:$H$60,3,FALSE), "")</f>
        <v/>
      </c>
      <c r="F4" t="str">
        <f>IF(B4="yes",VLOOKUP(A4,'FAO crop mapping'!$A$22:$H$60,4,FALSE), "")</f>
        <v/>
      </c>
      <c r="G4" t="str">
        <f>IF(B4="yes",VLOOKUP(A4,'FAO crop mapping'!$A$22:$H$60,5,FALSE), "")</f>
        <v/>
      </c>
      <c r="H4" t="e">
        <f>IF(B5="yes",VLOOKUP(A5,'FAO crop mapping'!$A$22:$H$60,6,FALSE), "")</f>
        <v>#N/A</v>
      </c>
      <c r="I4" t="e">
        <f>IF(B5="yes",VLOOKUP(A5,'FAO crop mapping'!$A$22:$H$60,7,FALSE), "")</f>
        <v>#N/A</v>
      </c>
      <c r="J4" t="e">
        <f>IF(B5="yes",VLOOKUP(A5,'FAO crop mapping'!$A$22:$H$60,8,FALSE), "")</f>
        <v>#N/A</v>
      </c>
    </row>
    <row r="5" spans="1:10" x14ac:dyDescent="0.25">
      <c r="A5" t="s">
        <v>82</v>
      </c>
      <c r="B5" t="s">
        <v>79</v>
      </c>
      <c r="C5" t="s">
        <v>79</v>
      </c>
      <c r="D5" t="e">
        <f>IF(B5="yes",VLOOKUP(A5,'FAO crop mapping'!$A$22:$H$60,2,FALSE), "")</f>
        <v>#N/A</v>
      </c>
      <c r="E5" t="e">
        <f>IF(B5="yes",VLOOKUP(A5,'FAO crop mapping'!$A$22:$H$60,3,FALSE), "")</f>
        <v>#N/A</v>
      </c>
      <c r="F5" t="e">
        <f>IF(B5="yes",VLOOKUP(A5,'FAO crop mapping'!$A$22:$H$60,4,FALSE), "")</f>
        <v>#N/A</v>
      </c>
      <c r="G5" t="e">
        <f>IF(B5="yes",VLOOKUP(A5,'FAO crop mapping'!$A$22:$H$60,5,FALSE), "")</f>
        <v>#N/A</v>
      </c>
      <c r="H5" t="e">
        <f>IF(B6="yes",VLOOKUP(A6,'FAO crop mapping'!$A$22:$H$60,6,FALSE), "")</f>
        <v>#N/A</v>
      </c>
      <c r="I5" t="e">
        <f>IF(B6="yes",VLOOKUP(A6,'FAO crop mapping'!$A$22:$H$60,7,FALSE), "")</f>
        <v>#N/A</v>
      </c>
      <c r="J5" t="e">
        <f>IF(B6="yes",VLOOKUP(A6,'FAO crop mapping'!$A$22:$H$60,8,FALSE), "")</f>
        <v>#N/A</v>
      </c>
    </row>
    <row r="6" spans="1:10" x14ac:dyDescent="0.25">
      <c r="A6" t="s">
        <v>83</v>
      </c>
      <c r="B6" t="s">
        <v>79</v>
      </c>
      <c r="C6" t="s">
        <v>80</v>
      </c>
      <c r="D6" t="e">
        <f>IF(B6="yes",VLOOKUP(A6,'FAO crop mapping'!$A$22:$H$60,2,FALSE), "")</f>
        <v>#N/A</v>
      </c>
      <c r="E6" t="e">
        <f>IF(B6="yes",VLOOKUP(A6,'FAO crop mapping'!$A$22:$H$60,3,FALSE), "")</f>
        <v>#N/A</v>
      </c>
      <c r="F6" t="e">
        <f>IF(B6="yes",VLOOKUP(A6,'FAO crop mapping'!$A$22:$H$60,4,FALSE), "")</f>
        <v>#N/A</v>
      </c>
      <c r="G6" t="e">
        <f>IF(B6="yes",VLOOKUP(A6,'FAO crop mapping'!$A$22:$H$60,5,FALSE), "")</f>
        <v>#N/A</v>
      </c>
      <c r="H6" t="e">
        <f>IF(B7="yes",VLOOKUP(A7,'FAO crop mapping'!$A$22:$H$60,6,FALSE), "")</f>
        <v>#N/A</v>
      </c>
      <c r="I6" t="e">
        <f>IF(B7="yes",VLOOKUP(A7,'FAO crop mapping'!$A$22:$H$60,7,FALSE), "")</f>
        <v>#N/A</v>
      </c>
      <c r="J6" t="e">
        <f>IF(B7="yes",VLOOKUP(A7,'FAO crop mapping'!$A$22:$H$60,8,FALSE), "")</f>
        <v>#N/A</v>
      </c>
    </row>
    <row r="7" spans="1:10" x14ac:dyDescent="0.25">
      <c r="A7" t="s">
        <v>84</v>
      </c>
      <c r="B7" t="s">
        <v>79</v>
      </c>
      <c r="C7" t="s">
        <v>80</v>
      </c>
      <c r="D7" t="e">
        <f>IF(B7="yes",VLOOKUP(A7,'FAO crop mapping'!$A$22:$H$60,2,FALSE), "")</f>
        <v>#N/A</v>
      </c>
      <c r="E7" t="e">
        <f>IF(B7="yes",VLOOKUP(A7,'FAO crop mapping'!$A$22:$H$60,3,FALSE), "")</f>
        <v>#N/A</v>
      </c>
      <c r="F7" t="e">
        <f>IF(B7="yes",VLOOKUP(A7,'FAO crop mapping'!$A$22:$H$60,4,FALSE), "")</f>
        <v>#N/A</v>
      </c>
      <c r="G7" t="e">
        <f>IF(B7="yes",VLOOKUP(A7,'FAO crop mapping'!$A$22:$H$60,5,FALSE), "")</f>
        <v>#N/A</v>
      </c>
      <c r="H7" t="e">
        <f>IF(B8="yes",VLOOKUP(A8,'FAO crop mapping'!$A$22:$H$60,6,FALSE), "")</f>
        <v>#N/A</v>
      </c>
      <c r="I7" t="e">
        <f>IF(B8="yes",VLOOKUP(A8,'FAO crop mapping'!$A$22:$H$60,7,FALSE), "")</f>
        <v>#N/A</v>
      </c>
      <c r="J7" t="e">
        <f>IF(B8="yes",VLOOKUP(A8,'FAO crop mapping'!$A$22:$H$60,8,FALSE), "")</f>
        <v>#N/A</v>
      </c>
    </row>
    <row r="8" spans="1:10" x14ac:dyDescent="0.25">
      <c r="A8" t="s">
        <v>85</v>
      </c>
      <c r="B8" t="s">
        <v>79</v>
      </c>
      <c r="C8" t="s">
        <v>80</v>
      </c>
      <c r="D8" t="e">
        <f>IF(B8="yes",VLOOKUP(A8,'FAO crop mapping'!$A$22:$H$60,2,FALSE), "")</f>
        <v>#N/A</v>
      </c>
      <c r="E8" t="e">
        <f>IF(B8="yes",VLOOKUP(A8,'FAO crop mapping'!$A$22:$H$60,3,FALSE), "")</f>
        <v>#N/A</v>
      </c>
      <c r="F8" t="e">
        <f>IF(B8="yes",VLOOKUP(A8,'FAO crop mapping'!$A$22:$H$60,4,FALSE), "")</f>
        <v>#N/A</v>
      </c>
      <c r="G8" t="e">
        <f>IF(B8="yes",VLOOKUP(A8,'FAO crop mapping'!$A$22:$H$60,5,FALSE), "")</f>
        <v>#N/A</v>
      </c>
      <c r="H8" t="e">
        <f>IF(B9="yes",VLOOKUP(A9,'FAO crop mapping'!$A$22:$H$60,6,FALSE), "")</f>
        <v>#N/A</v>
      </c>
      <c r="I8" t="e">
        <f>IF(B9="yes",VLOOKUP(A9,'FAO crop mapping'!$A$22:$H$60,7,FALSE), "")</f>
        <v>#N/A</v>
      </c>
      <c r="J8" t="e">
        <f>IF(B9="yes",VLOOKUP(A9,'FAO crop mapping'!$A$22:$H$60,8,FALSE), "")</f>
        <v>#N/A</v>
      </c>
    </row>
    <row r="9" spans="1:10" x14ac:dyDescent="0.25">
      <c r="A9" t="s">
        <v>86</v>
      </c>
      <c r="B9" t="s">
        <v>79</v>
      </c>
      <c r="C9" t="s">
        <v>80</v>
      </c>
      <c r="D9" t="e">
        <f>IF(B9="yes",VLOOKUP(A9,'FAO crop mapping'!$A$22:$H$60,2,FALSE), "")</f>
        <v>#N/A</v>
      </c>
      <c r="E9" t="e">
        <f>IF(B9="yes",VLOOKUP(A9,'FAO crop mapping'!$A$22:$H$60,3,FALSE), "")</f>
        <v>#N/A</v>
      </c>
      <c r="F9" t="e">
        <f>IF(B9="yes",VLOOKUP(A9,'FAO crop mapping'!$A$22:$H$60,4,FALSE), "")</f>
        <v>#N/A</v>
      </c>
      <c r="G9" t="e">
        <f>IF(B9="yes",VLOOKUP(A9,'FAO crop mapping'!$A$22:$H$60,5,FALSE), "")</f>
        <v>#N/A</v>
      </c>
      <c r="H9" t="e">
        <f>IF(B10="yes",VLOOKUP(A10,'FAO crop mapping'!$A$22:$H$60,6,FALSE), "")</f>
        <v>#N/A</v>
      </c>
      <c r="I9" t="e">
        <f>IF(B10="yes",VLOOKUP(A10,'FAO crop mapping'!$A$22:$H$60,7,FALSE), "")</f>
        <v>#N/A</v>
      </c>
      <c r="J9" t="e">
        <f>IF(B10="yes",VLOOKUP(A10,'FAO crop mapping'!$A$22:$H$60,8,FALSE), "")</f>
        <v>#N/A</v>
      </c>
    </row>
    <row r="10" spans="1:10" x14ac:dyDescent="0.25">
      <c r="A10" t="s">
        <v>87</v>
      </c>
      <c r="B10" t="s">
        <v>79</v>
      </c>
      <c r="C10" t="s">
        <v>80</v>
      </c>
      <c r="D10" t="e">
        <f>IF(B10="yes",VLOOKUP(A10,'FAO crop mapping'!$A$22:$H$60,2,FALSE), "")</f>
        <v>#N/A</v>
      </c>
      <c r="E10" t="e">
        <f>IF(B10="yes",VLOOKUP(A10,'FAO crop mapping'!$A$22:$H$60,3,FALSE), "")</f>
        <v>#N/A</v>
      </c>
      <c r="F10" t="e">
        <f>IF(B10="yes",VLOOKUP(A10,'FAO crop mapping'!$A$22:$H$60,4,FALSE), "")</f>
        <v>#N/A</v>
      </c>
      <c r="G10" t="e">
        <f>IF(B10="yes",VLOOKUP(A10,'FAO crop mapping'!$A$22:$H$60,5,FALSE), "")</f>
        <v>#N/A</v>
      </c>
      <c r="H10" t="e">
        <f>IF(B11="yes",VLOOKUP(A11,'FAO crop mapping'!$A$22:$H$60,6,FALSE), "")</f>
        <v>#N/A</v>
      </c>
      <c r="I10" t="e">
        <f>IF(B11="yes",VLOOKUP(A11,'FAO crop mapping'!$A$22:$H$60,7,FALSE), "")</f>
        <v>#N/A</v>
      </c>
      <c r="J10" t="e">
        <f>IF(B11="yes",VLOOKUP(A11,'FAO crop mapping'!$A$22:$H$60,8,FALSE), "")</f>
        <v>#N/A</v>
      </c>
    </row>
    <row r="11" spans="1:10" x14ac:dyDescent="0.25">
      <c r="A11" t="s">
        <v>88</v>
      </c>
      <c r="B11" t="s">
        <v>79</v>
      </c>
      <c r="C11" t="s">
        <v>80</v>
      </c>
      <c r="D11" t="e">
        <f>IF(B11="yes",VLOOKUP(A11,'FAO crop mapping'!$A$22:$H$60,2,FALSE), "")</f>
        <v>#N/A</v>
      </c>
      <c r="E11" t="e">
        <f>IF(B11="yes",VLOOKUP(A11,'FAO crop mapping'!$A$22:$H$60,3,FALSE), "")</f>
        <v>#N/A</v>
      </c>
      <c r="F11" t="e">
        <f>IF(B11="yes",VLOOKUP(A11,'FAO crop mapping'!$A$22:$H$60,4,FALSE), "")</f>
        <v>#N/A</v>
      </c>
      <c r="G11" t="e">
        <f>IF(B11="yes",VLOOKUP(A11,'FAO crop mapping'!$A$22:$H$60,5,FALSE), "")</f>
        <v>#N/A</v>
      </c>
      <c r="H11" t="str">
        <f>IF(B12="yes",VLOOKUP(A12,'FAO crop mapping'!$A$22:$H$60,6,FALSE), "")</f>
        <v/>
      </c>
      <c r="I11" t="str">
        <f>IF(B12="yes",VLOOKUP(A12,'FAO crop mapping'!$A$22:$H$60,7,FALSE), "")</f>
        <v/>
      </c>
      <c r="J11" t="str">
        <f>IF(B12="yes",VLOOKUP(A12,'FAO crop mapping'!$A$22:$H$60,8,FALSE), "")</f>
        <v/>
      </c>
    </row>
    <row r="12" spans="1:10" x14ac:dyDescent="0.25">
      <c r="A12" t="s">
        <v>89</v>
      </c>
      <c r="B12" t="s">
        <v>80</v>
      </c>
      <c r="C12" t="s">
        <v>80</v>
      </c>
      <c r="D12" t="str">
        <f>IF(B12="yes",VLOOKUP(A12,'FAO crop mapping'!$A$22:$H$60,2,FALSE), "")</f>
        <v/>
      </c>
      <c r="E12" t="str">
        <f>IF(B12="yes",VLOOKUP(A12,'FAO crop mapping'!$A$22:$H$60,3,FALSE), "")</f>
        <v/>
      </c>
      <c r="F12" t="str">
        <f>IF(B12="yes",VLOOKUP(A12,'FAO crop mapping'!$A$22:$H$60,4,FALSE), "")</f>
        <v/>
      </c>
      <c r="G12" t="str">
        <f>IF(B12="yes",VLOOKUP(A12,'FAO crop mapping'!$A$22:$H$60,5,FALSE), "")</f>
        <v/>
      </c>
      <c r="H12" t="e">
        <f>IF(B13="yes",VLOOKUP(A13,'FAO crop mapping'!$A$22:$H$60,6,FALSE), "")</f>
        <v>#N/A</v>
      </c>
      <c r="I12" t="e">
        <f>IF(B13="yes",VLOOKUP(A13,'FAO crop mapping'!$A$22:$H$60,7,FALSE), "")</f>
        <v>#N/A</v>
      </c>
      <c r="J12" t="e">
        <f>IF(B13="yes",VLOOKUP(A13,'FAO crop mapping'!$A$22:$H$60,8,FALSE), "")</f>
        <v>#N/A</v>
      </c>
    </row>
    <row r="13" spans="1:10" x14ac:dyDescent="0.25">
      <c r="A13" t="s">
        <v>90</v>
      </c>
      <c r="B13" t="s">
        <v>79</v>
      </c>
      <c r="C13" t="s">
        <v>79</v>
      </c>
      <c r="D13" t="e">
        <f>IF(B13="yes",VLOOKUP(A13,'FAO crop mapping'!$A$22:$H$60,2,FALSE), "")</f>
        <v>#N/A</v>
      </c>
      <c r="E13" t="e">
        <f>IF(B13="yes",VLOOKUP(A13,'FAO crop mapping'!$A$22:$H$60,3,FALSE), "")</f>
        <v>#N/A</v>
      </c>
      <c r="F13" t="e">
        <f>IF(B13="yes",VLOOKUP(A13,'FAO crop mapping'!$A$22:$H$60,4,FALSE), "")</f>
        <v>#N/A</v>
      </c>
      <c r="G13" t="e">
        <f>IF(B13="yes",VLOOKUP(A13,'FAO crop mapping'!$A$22:$H$60,5,FALSE), "")</f>
        <v>#N/A</v>
      </c>
      <c r="H13" t="str">
        <f>IF(B14="yes",VLOOKUP(A14,'FAO crop mapping'!$A$22:$H$60,6,FALSE), "")</f>
        <v/>
      </c>
      <c r="I13" t="str">
        <f>IF(B14="yes",VLOOKUP(A14,'FAO crop mapping'!$A$22:$H$60,7,FALSE), "")</f>
        <v/>
      </c>
      <c r="J13" t="str">
        <f>IF(B14="yes",VLOOKUP(A14,'FAO crop mapping'!$A$22:$H$60,8,FALSE), "")</f>
        <v/>
      </c>
    </row>
    <row r="14" spans="1:10" x14ac:dyDescent="0.25">
      <c r="A14" t="s">
        <v>91</v>
      </c>
      <c r="B14" t="s">
        <v>80</v>
      </c>
      <c r="C14" t="s">
        <v>80</v>
      </c>
      <c r="D14" t="str">
        <f>IF(B14="yes",VLOOKUP(A14,'FAO crop mapping'!$A$22:$H$60,2,FALSE), "")</f>
        <v/>
      </c>
      <c r="E14" t="str">
        <f>IF(B14="yes",VLOOKUP(A14,'FAO crop mapping'!$A$22:$H$60,3,FALSE), "")</f>
        <v/>
      </c>
      <c r="F14" t="str">
        <f>IF(B14="yes",VLOOKUP(A14,'FAO crop mapping'!$A$22:$H$60,4,FALSE), "")</f>
        <v/>
      </c>
      <c r="G14" t="str">
        <f>IF(B14="yes",VLOOKUP(A14,'FAO crop mapping'!$A$22:$H$60,5,FALSE), "")</f>
        <v/>
      </c>
      <c r="H14" t="e">
        <f>IF(B15="yes",VLOOKUP(A15,'FAO crop mapping'!$A$22:$H$60,6,FALSE), "")</f>
        <v>#N/A</v>
      </c>
      <c r="I14" t="e">
        <f>IF(B15="yes",VLOOKUP(A15,'FAO crop mapping'!$A$22:$H$60,7,FALSE), "")</f>
        <v>#N/A</v>
      </c>
      <c r="J14" t="e">
        <f>IF(B15="yes",VLOOKUP(A15,'FAO crop mapping'!$A$22:$H$60,8,FALSE), "")</f>
        <v>#N/A</v>
      </c>
    </row>
    <row r="15" spans="1:10" x14ac:dyDescent="0.25">
      <c r="A15" t="s">
        <v>92</v>
      </c>
      <c r="B15" t="s">
        <v>79</v>
      </c>
      <c r="C15" t="s">
        <v>80</v>
      </c>
      <c r="D15" t="e">
        <f>IF(B15="yes",VLOOKUP(A15,'FAO crop mapping'!$A$22:$H$60,2,FALSE), "")</f>
        <v>#N/A</v>
      </c>
      <c r="E15" t="e">
        <f>IF(B15="yes",VLOOKUP(A15,'FAO crop mapping'!$A$22:$H$60,3,FALSE), "")</f>
        <v>#N/A</v>
      </c>
      <c r="F15" t="e">
        <f>IF(B15="yes",VLOOKUP(A15,'FAO crop mapping'!$A$22:$H$60,4,FALSE), "")</f>
        <v>#N/A</v>
      </c>
      <c r="G15" t="e">
        <f>IF(B15="yes",VLOOKUP(A15,'FAO crop mapping'!$A$22:$H$60,5,FALSE), "")</f>
        <v>#N/A</v>
      </c>
      <c r="H15" t="e">
        <f>IF(B16="yes",VLOOKUP(A16,'FAO crop mapping'!$A$22:$H$60,6,FALSE), "")</f>
        <v>#N/A</v>
      </c>
      <c r="I15" t="e">
        <f>IF(B16="yes",VLOOKUP(A16,'FAO crop mapping'!$A$22:$H$60,7,FALSE), "")</f>
        <v>#N/A</v>
      </c>
      <c r="J15" t="e">
        <f>IF(B16="yes",VLOOKUP(A16,'FAO crop mapping'!$A$22:$H$60,8,FALSE), "")</f>
        <v>#N/A</v>
      </c>
    </row>
    <row r="16" spans="1:10" x14ac:dyDescent="0.25">
      <c r="A16" t="s">
        <v>93</v>
      </c>
      <c r="B16" t="s">
        <v>79</v>
      </c>
      <c r="C16" t="s">
        <v>80</v>
      </c>
      <c r="D16" t="e">
        <f>IF(B16="yes",VLOOKUP(A16,'FAO crop mapping'!$A$22:$H$60,2,FALSE), "")</f>
        <v>#N/A</v>
      </c>
      <c r="E16" t="e">
        <f>IF(B16="yes",VLOOKUP(A16,'FAO crop mapping'!$A$22:$H$60,3,FALSE), "")</f>
        <v>#N/A</v>
      </c>
      <c r="F16" t="e">
        <f>IF(B16="yes",VLOOKUP(A16,'FAO crop mapping'!$A$22:$H$60,4,FALSE), "")</f>
        <v>#N/A</v>
      </c>
      <c r="G16" t="e">
        <f>IF(B16="yes",VLOOKUP(A16,'FAO crop mapping'!$A$22:$H$60,5,FALSE), "")</f>
        <v>#N/A</v>
      </c>
      <c r="H16">
        <f>IF(B17="yes",VLOOKUP(A17,'FAO crop mapping'!$A$22:$H$60,6,FALSE), "")</f>
        <v>1.2</v>
      </c>
      <c r="I16">
        <f>IF(B17="yes",VLOOKUP(A17,'FAO crop mapping'!$A$22:$H$60,7,FALSE), "")</f>
        <v>0.22</v>
      </c>
      <c r="J16">
        <f>IF(B17="yes",VLOOKUP(A17,'FAO crop mapping'!$A$22:$H$60,8,FALSE), "")</f>
        <v>1.4E-2</v>
      </c>
    </row>
    <row r="17" spans="1:10" x14ac:dyDescent="0.25">
      <c r="A17" t="s">
        <v>18</v>
      </c>
      <c r="B17" t="s">
        <v>79</v>
      </c>
      <c r="C17" t="s">
        <v>80</v>
      </c>
      <c r="D17">
        <f>IF(B17="yes",VLOOKUP(A17,'FAO crop mapping'!$A$22:$H$60,2,FALSE), "")</f>
        <v>1</v>
      </c>
      <c r="E17">
        <f>IF(B17="yes",VLOOKUP(A17,'FAO crop mapping'!$A$22:$H$60,3,FALSE), "")</f>
        <v>0.98</v>
      </c>
      <c r="F17">
        <f>IF(B17="yes",VLOOKUP(A17,'FAO crop mapping'!$A$22:$H$60,4,FALSE), "")</f>
        <v>0.59</v>
      </c>
      <c r="G17">
        <f>IF(B17="yes",VLOOKUP(A17,'FAO crop mapping'!$A$22:$H$60,5,FALSE), "")</f>
        <v>7.0000000000000001E-3</v>
      </c>
      <c r="H17">
        <f>IF(B18="yes",VLOOKUP(A18,'FAO crop mapping'!$A$22:$H$60,6,FALSE), "")</f>
        <v>2.1</v>
      </c>
      <c r="I17">
        <f>IF(B18="yes",VLOOKUP(A18,'FAO crop mapping'!$A$22:$H$60,7,FALSE), "")</f>
        <v>0.19</v>
      </c>
      <c r="J17">
        <f>IF(B18="yes",VLOOKUP(A18,'FAO crop mapping'!$A$22:$H$60,8,FALSE), "")</f>
        <v>8.0000000000000002E-3</v>
      </c>
    </row>
    <row r="18" spans="1:10" x14ac:dyDescent="0.25">
      <c r="A18" t="s">
        <v>39</v>
      </c>
      <c r="B18" t="s">
        <v>79</v>
      </c>
      <c r="C18" t="s">
        <v>79</v>
      </c>
      <c r="D18">
        <f>IF(B18="yes",VLOOKUP(A18,'FAO crop mapping'!$A$22:$H$60,2,FALSE), "")</f>
        <v>1</v>
      </c>
      <c r="E18">
        <f>IF(B18="yes",VLOOKUP(A18,'FAO crop mapping'!$A$22:$H$60,3,FALSE), "")</f>
        <v>1.1299999999999999</v>
      </c>
      <c r="F18">
        <f>IF(B18="yes",VLOOKUP(A18,'FAO crop mapping'!$A$22:$H$60,4,FALSE), "")</f>
        <v>0.85</v>
      </c>
      <c r="G18">
        <f>IF(B18="yes",VLOOKUP(A18,'FAO crop mapping'!$A$22:$H$60,5,FALSE), "")</f>
        <v>8.0000000000000002E-3</v>
      </c>
      <c r="H18" t="str">
        <f>IF(B19="yes",VLOOKUP(A19,'FAO crop mapping'!$A$22:$H$60,6,FALSE), "")</f>
        <v/>
      </c>
      <c r="I18" t="str">
        <f>IF(B19="yes",VLOOKUP(A19,'FAO crop mapping'!$A$22:$H$60,7,FALSE), "")</f>
        <v/>
      </c>
      <c r="J18" t="str">
        <f>IF(B19="yes",VLOOKUP(A19,'FAO crop mapping'!$A$22:$H$60,8,FALSE), "")</f>
        <v/>
      </c>
    </row>
    <row r="19" spans="1:10" x14ac:dyDescent="0.25">
      <c r="A19" t="s">
        <v>94</v>
      </c>
      <c r="B19" t="s">
        <v>80</v>
      </c>
      <c r="C19" t="s">
        <v>80</v>
      </c>
      <c r="D19" t="str">
        <f>IF(B19="yes",VLOOKUP(A19,'FAO crop mapping'!$A$22:$H$60,2,FALSE), "")</f>
        <v/>
      </c>
      <c r="E19" t="str">
        <f>IF(B19="yes",VLOOKUP(A19,'FAO crop mapping'!$A$22:$H$60,3,FALSE), "")</f>
        <v/>
      </c>
      <c r="F19" t="str">
        <f>IF(B19="yes",VLOOKUP(A19,'FAO crop mapping'!$A$22:$H$60,4,FALSE), "")</f>
        <v/>
      </c>
      <c r="G19" t="str">
        <f>IF(B19="yes",VLOOKUP(A19,'FAO crop mapping'!$A$22:$H$60,5,FALSE), "")</f>
        <v/>
      </c>
      <c r="H19" t="str">
        <f>IF(B20="yes",VLOOKUP(A20,'FAO crop mapping'!$A$22:$H$60,6,FALSE), "")</f>
        <v/>
      </c>
      <c r="I19" t="str">
        <f>IF(B20="yes",VLOOKUP(A20,'FAO crop mapping'!$A$22:$H$60,7,FALSE), "")</f>
        <v/>
      </c>
      <c r="J19" t="str">
        <f>IF(B20="yes",VLOOKUP(A20,'FAO crop mapping'!$A$22:$H$60,8,FALSE), "")</f>
        <v/>
      </c>
    </row>
    <row r="20" spans="1:10" x14ac:dyDescent="0.25">
      <c r="A20" t="s">
        <v>95</v>
      </c>
      <c r="B20" t="s">
        <v>80</v>
      </c>
      <c r="C20" t="s">
        <v>80</v>
      </c>
      <c r="D20" t="str">
        <f>IF(B20="yes",VLOOKUP(A20,'FAO crop mapping'!$A$22:$H$60,2,FALSE), "")</f>
        <v/>
      </c>
      <c r="E20" t="str">
        <f>IF(B20="yes",VLOOKUP(A20,'FAO crop mapping'!$A$22:$H$60,3,FALSE), "")</f>
        <v/>
      </c>
      <c r="F20" t="str">
        <f>IF(B20="yes",VLOOKUP(A20,'FAO crop mapping'!$A$22:$H$60,4,FALSE), "")</f>
        <v/>
      </c>
      <c r="G20" t="str">
        <f>IF(B20="yes",VLOOKUP(A20,'FAO crop mapping'!$A$22:$H$60,5,FALSE), "")</f>
        <v/>
      </c>
      <c r="H20" t="str">
        <f>IF(B21="yes",VLOOKUP(A21,'FAO crop mapping'!$A$22:$H$60,6,FALSE), "")</f>
        <v/>
      </c>
      <c r="I20" t="str">
        <f>IF(B21="yes",VLOOKUP(A21,'FAO crop mapping'!$A$22:$H$60,7,FALSE), "")</f>
        <v/>
      </c>
      <c r="J20" t="str">
        <f>IF(B21="yes",VLOOKUP(A21,'FAO crop mapping'!$A$22:$H$60,8,FALSE), "")</f>
        <v/>
      </c>
    </row>
    <row r="21" spans="1:10" x14ac:dyDescent="0.25">
      <c r="A21" t="s">
        <v>96</v>
      </c>
      <c r="B21" t="s">
        <v>80</v>
      </c>
      <c r="C21" t="s">
        <v>80</v>
      </c>
      <c r="D21" t="str">
        <f>IF(B21="yes",VLOOKUP(A21,'FAO crop mapping'!$A$22:$H$60,2,FALSE), "")</f>
        <v/>
      </c>
      <c r="E21" t="str">
        <f>IF(B21="yes",VLOOKUP(A21,'FAO crop mapping'!$A$22:$H$60,3,FALSE), "")</f>
        <v/>
      </c>
      <c r="F21" t="str">
        <f>IF(B21="yes",VLOOKUP(A21,'FAO crop mapping'!$A$22:$H$60,4,FALSE), "")</f>
        <v/>
      </c>
      <c r="G21" t="str">
        <f>IF(B21="yes",VLOOKUP(A21,'FAO crop mapping'!$A$22:$H$60,5,FALSE), "")</f>
        <v/>
      </c>
      <c r="H21" t="e">
        <f>IF(B22="yes",VLOOKUP(A22,'FAO crop mapping'!$A$22:$H$60,6,FALSE), "")</f>
        <v>#N/A</v>
      </c>
      <c r="I21" t="e">
        <f>IF(B22="yes",VLOOKUP(A22,'FAO crop mapping'!$A$22:$H$60,7,FALSE), "")</f>
        <v>#N/A</v>
      </c>
      <c r="J21" t="e">
        <f>IF(B22="yes",VLOOKUP(A22,'FAO crop mapping'!$A$22:$H$60,8,FALSE), "")</f>
        <v>#N/A</v>
      </c>
    </row>
    <row r="22" spans="1:10" x14ac:dyDescent="0.25">
      <c r="A22" t="s">
        <v>97</v>
      </c>
      <c r="B22" t="s">
        <v>79</v>
      </c>
      <c r="C22" t="s">
        <v>80</v>
      </c>
      <c r="D22" t="e">
        <f>IF(B22="yes",VLOOKUP(A22,'FAO crop mapping'!$A$22:$H$60,2,FALSE), "")</f>
        <v>#N/A</v>
      </c>
      <c r="E22" t="e">
        <f>IF(B22="yes",VLOOKUP(A22,'FAO crop mapping'!$A$22:$H$60,3,FALSE), "")</f>
        <v>#N/A</v>
      </c>
      <c r="F22" t="e">
        <f>IF(B22="yes",VLOOKUP(A22,'FAO crop mapping'!$A$22:$H$60,4,FALSE), "")</f>
        <v>#N/A</v>
      </c>
      <c r="G22" t="e">
        <f>IF(B22="yes",VLOOKUP(A22,'FAO crop mapping'!$A$22:$H$60,5,FALSE), "")</f>
        <v>#N/A</v>
      </c>
      <c r="H22" t="e">
        <f>IF(B23="yes",VLOOKUP(A23,'FAO crop mapping'!$A$22:$H$60,6,FALSE), "")</f>
        <v>#N/A</v>
      </c>
      <c r="I22" t="e">
        <f>IF(B23="yes",VLOOKUP(A23,'FAO crop mapping'!$A$22:$H$60,7,FALSE), "")</f>
        <v>#N/A</v>
      </c>
      <c r="J22" t="e">
        <f>IF(B23="yes",VLOOKUP(A23,'FAO crop mapping'!$A$22:$H$60,8,FALSE), "")</f>
        <v>#N/A</v>
      </c>
    </row>
    <row r="23" spans="1:10" x14ac:dyDescent="0.25">
      <c r="A23" t="s">
        <v>98</v>
      </c>
      <c r="B23" t="s">
        <v>79</v>
      </c>
      <c r="C23" t="s">
        <v>80</v>
      </c>
      <c r="D23" t="e">
        <f>IF(B23="yes",VLOOKUP(A23,'FAO crop mapping'!$A$22:$H$60,2,FALSE), "")</f>
        <v>#N/A</v>
      </c>
      <c r="E23" t="e">
        <f>IF(B23="yes",VLOOKUP(A23,'FAO crop mapping'!$A$22:$H$60,3,FALSE), "")</f>
        <v>#N/A</v>
      </c>
      <c r="F23" t="e">
        <f>IF(B23="yes",VLOOKUP(A23,'FAO crop mapping'!$A$22:$H$60,4,FALSE), "")</f>
        <v>#N/A</v>
      </c>
      <c r="G23" t="e">
        <f>IF(B23="yes",VLOOKUP(A23,'FAO crop mapping'!$A$22:$H$60,5,FALSE), "")</f>
        <v>#N/A</v>
      </c>
      <c r="H23" t="str">
        <f>IF(B24="yes",VLOOKUP(A24,'FAO crop mapping'!$A$22:$H$60,6,FALSE), "")</f>
        <v/>
      </c>
      <c r="I23" t="str">
        <f>IF(B24="yes",VLOOKUP(A24,'FAO crop mapping'!$A$22:$H$60,7,FALSE), "")</f>
        <v/>
      </c>
      <c r="J23" t="str">
        <f>IF(B24="yes",VLOOKUP(A24,'FAO crop mapping'!$A$22:$H$60,8,FALSE), "")</f>
        <v/>
      </c>
    </row>
    <row r="24" spans="1:10" x14ac:dyDescent="0.25">
      <c r="A24" t="s">
        <v>99</v>
      </c>
      <c r="B24" t="s">
        <v>80</v>
      </c>
      <c r="C24" t="s">
        <v>80</v>
      </c>
      <c r="D24" t="str">
        <f>IF(B24="yes",VLOOKUP(A24,'FAO crop mapping'!$A$22:$H$60,2,FALSE), "")</f>
        <v/>
      </c>
      <c r="E24" t="str">
        <f>IF(B24="yes",VLOOKUP(A24,'FAO crop mapping'!$A$22:$H$60,3,FALSE), "")</f>
        <v/>
      </c>
      <c r="F24" t="str">
        <f>IF(B24="yes",VLOOKUP(A24,'FAO crop mapping'!$A$22:$H$60,4,FALSE), "")</f>
        <v/>
      </c>
      <c r="G24" t="str">
        <f>IF(B24="yes",VLOOKUP(A24,'FAO crop mapping'!$A$22:$H$60,5,FALSE), "")</f>
        <v/>
      </c>
      <c r="H24" t="str">
        <f>IF(B25="yes",VLOOKUP(A25,'FAO crop mapping'!$A$22:$H$60,6,FALSE), "")</f>
        <v/>
      </c>
      <c r="I24" t="str">
        <f>IF(B25="yes",VLOOKUP(A25,'FAO crop mapping'!$A$22:$H$60,7,FALSE), "")</f>
        <v/>
      </c>
      <c r="J24" t="str">
        <f>IF(B25="yes",VLOOKUP(A25,'FAO crop mapping'!$A$22:$H$60,8,FALSE), "")</f>
        <v/>
      </c>
    </row>
    <row r="25" spans="1:10" x14ac:dyDescent="0.25">
      <c r="A25" t="s">
        <v>100</v>
      </c>
      <c r="B25" t="s">
        <v>80</v>
      </c>
      <c r="C25" t="s">
        <v>80</v>
      </c>
      <c r="D25" t="str">
        <f>IF(B25="yes",VLOOKUP(A25,'FAO crop mapping'!$A$22:$H$60,2,FALSE), "")</f>
        <v/>
      </c>
      <c r="E25" t="str">
        <f>IF(B25="yes",VLOOKUP(A25,'FAO crop mapping'!$A$22:$H$60,3,FALSE), "")</f>
        <v/>
      </c>
      <c r="F25" t="str">
        <f>IF(B25="yes",VLOOKUP(A25,'FAO crop mapping'!$A$22:$H$60,4,FALSE), "")</f>
        <v/>
      </c>
      <c r="G25" t="str">
        <f>IF(B25="yes",VLOOKUP(A25,'FAO crop mapping'!$A$22:$H$60,5,FALSE), "")</f>
        <v/>
      </c>
      <c r="H25">
        <f>IF(B26="yes",VLOOKUP(A26,'FAO crop mapping'!$A$22:$H$60,6,FALSE), "")</f>
        <v>1.3</v>
      </c>
      <c r="I25">
        <f>IF(B26="yes",VLOOKUP(A26,'FAO crop mapping'!$A$22:$H$60,7,FALSE), "")</f>
        <v>0.22</v>
      </c>
      <c r="J25">
        <f>IF(B26="yes",VLOOKUP(A26,'FAO crop mapping'!$A$22:$H$60,8,FALSE), "")</f>
        <v>8.9999999999999993E-3</v>
      </c>
    </row>
    <row r="26" spans="1:10" x14ac:dyDescent="0.25">
      <c r="A26" t="s">
        <v>41</v>
      </c>
      <c r="B26" t="s">
        <v>79</v>
      </c>
      <c r="C26" t="s">
        <v>79</v>
      </c>
      <c r="D26">
        <f>IF(B26="yes",VLOOKUP(A26,'FAO crop mapping'!$A$22:$H$60,2,FALSE), "")</f>
        <v>0.88</v>
      </c>
      <c r="E26">
        <f>IF(B26="yes",VLOOKUP(A26,'FAO crop mapping'!$A$22:$H$60,3,FALSE), "")</f>
        <v>1.0900000000000001</v>
      </c>
      <c r="F26">
        <f>IF(B26="yes",VLOOKUP(A26,'FAO crop mapping'!$A$22:$H$60,4,FALSE), "")</f>
        <v>0.88</v>
      </c>
      <c r="G26">
        <f>IF(B26="yes",VLOOKUP(A26,'FAO crop mapping'!$A$22:$H$60,5,FALSE), "")</f>
        <v>6.0000000000000001E-3</v>
      </c>
      <c r="H26" t="str">
        <f>IF(B27="yes",VLOOKUP(A27,'FAO crop mapping'!$A$22:$H$60,6,FALSE), "")</f>
        <v/>
      </c>
      <c r="I26" t="str">
        <f>IF(B27="yes",VLOOKUP(A27,'FAO crop mapping'!$A$22:$H$60,7,FALSE), "")</f>
        <v/>
      </c>
      <c r="J26" t="str">
        <f>IF(B27="yes",VLOOKUP(A27,'FAO crop mapping'!$A$22:$H$60,8,FALSE), "")</f>
        <v/>
      </c>
    </row>
    <row r="27" spans="1:10" x14ac:dyDescent="0.25">
      <c r="A27" t="s">
        <v>101</v>
      </c>
      <c r="B27" t="s">
        <v>80</v>
      </c>
      <c r="C27" t="s">
        <v>80</v>
      </c>
      <c r="D27" t="str">
        <f>IF(B27="yes",VLOOKUP(A27,'FAO crop mapping'!$A$22:$H$60,2,FALSE), "")</f>
        <v/>
      </c>
      <c r="E27" t="str">
        <f>IF(B27="yes",VLOOKUP(A27,'FAO crop mapping'!$A$22:$H$60,3,FALSE), "")</f>
        <v/>
      </c>
      <c r="F27" t="str">
        <f>IF(B27="yes",VLOOKUP(A27,'FAO crop mapping'!$A$22:$H$60,4,FALSE), "")</f>
        <v/>
      </c>
      <c r="G27" t="str">
        <f>IF(B27="yes",VLOOKUP(A27,'FAO crop mapping'!$A$22:$H$60,5,FALSE), "")</f>
        <v/>
      </c>
      <c r="H27" t="str">
        <f>IF(B28="yes",VLOOKUP(A28,'FAO crop mapping'!$A$22:$H$60,6,FALSE), "")</f>
        <v/>
      </c>
      <c r="I27" t="str">
        <f>IF(B28="yes",VLOOKUP(A28,'FAO crop mapping'!$A$22:$H$60,7,FALSE), "")</f>
        <v/>
      </c>
      <c r="J27" t="str">
        <f>IF(B28="yes",VLOOKUP(A28,'FAO crop mapping'!$A$22:$H$60,8,FALSE), "")</f>
        <v/>
      </c>
    </row>
    <row r="28" spans="1:10" x14ac:dyDescent="0.25">
      <c r="A28" t="s">
        <v>102</v>
      </c>
      <c r="B28" t="s">
        <v>80</v>
      </c>
      <c r="C28" t="s">
        <v>80</v>
      </c>
      <c r="D28" t="str">
        <f>IF(B28="yes",VLOOKUP(A28,'FAO crop mapping'!$A$22:$H$60,2,FALSE), "")</f>
        <v/>
      </c>
      <c r="E28" t="str">
        <f>IF(B28="yes",VLOOKUP(A28,'FAO crop mapping'!$A$22:$H$60,3,FALSE), "")</f>
        <v/>
      </c>
      <c r="F28" t="str">
        <f>IF(B28="yes",VLOOKUP(A28,'FAO crop mapping'!$A$22:$H$60,4,FALSE), "")</f>
        <v/>
      </c>
      <c r="G28" t="str">
        <f>IF(B28="yes",VLOOKUP(A28,'FAO crop mapping'!$A$22:$H$60,5,FALSE), "")</f>
        <v/>
      </c>
      <c r="H28" t="str">
        <f>IF(B29="yes",VLOOKUP(A29,'FAO crop mapping'!$A$22:$H$60,6,FALSE), "")</f>
        <v/>
      </c>
      <c r="I28" t="str">
        <f>IF(B29="yes",VLOOKUP(A29,'FAO crop mapping'!$A$22:$H$60,7,FALSE), "")</f>
        <v/>
      </c>
      <c r="J28" t="str">
        <f>IF(B29="yes",VLOOKUP(A29,'FAO crop mapping'!$A$22:$H$60,8,FALSE), "")</f>
        <v/>
      </c>
    </row>
    <row r="29" spans="1:10" x14ac:dyDescent="0.25">
      <c r="A29" t="s">
        <v>103</v>
      </c>
      <c r="B29" t="s">
        <v>80</v>
      </c>
      <c r="C29" t="s">
        <v>80</v>
      </c>
      <c r="D29" t="str">
        <f>IF(B29="yes",VLOOKUP(A29,'FAO crop mapping'!$A$22:$H$60,2,FALSE), "")</f>
        <v/>
      </c>
      <c r="E29" t="str">
        <f>IF(B29="yes",VLOOKUP(A29,'FAO crop mapping'!$A$22:$H$60,3,FALSE), "")</f>
        <v/>
      </c>
      <c r="F29" t="str">
        <f>IF(B29="yes",VLOOKUP(A29,'FAO crop mapping'!$A$22:$H$60,4,FALSE), "")</f>
        <v/>
      </c>
      <c r="G29" t="str">
        <f>IF(B29="yes",VLOOKUP(A29,'FAO crop mapping'!$A$22:$H$60,5,FALSE), "")</f>
        <v/>
      </c>
      <c r="H29" t="str">
        <f>IF(B30="yes",VLOOKUP(A30,'FAO crop mapping'!$A$22:$H$60,6,FALSE), "")</f>
        <v/>
      </c>
      <c r="I29" t="str">
        <f>IF(B30="yes",VLOOKUP(A30,'FAO crop mapping'!$A$22:$H$60,7,FALSE), "")</f>
        <v/>
      </c>
      <c r="J29" t="str">
        <f>IF(B30="yes",VLOOKUP(A30,'FAO crop mapping'!$A$22:$H$60,8,FALSE), "")</f>
        <v/>
      </c>
    </row>
    <row r="30" spans="1:10" x14ac:dyDescent="0.25">
      <c r="A30" t="s">
        <v>104</v>
      </c>
      <c r="B30" t="s">
        <v>80</v>
      </c>
      <c r="C30" t="s">
        <v>80</v>
      </c>
      <c r="D30" t="str">
        <f>IF(B30="yes",VLOOKUP(A30,'FAO crop mapping'!$A$22:$H$60,2,FALSE), "")</f>
        <v/>
      </c>
      <c r="E30" t="str">
        <f>IF(B30="yes",VLOOKUP(A30,'FAO crop mapping'!$A$22:$H$60,3,FALSE), "")</f>
        <v/>
      </c>
      <c r="F30" t="str">
        <f>IF(B30="yes",VLOOKUP(A30,'FAO crop mapping'!$A$22:$H$60,4,FALSE), "")</f>
        <v/>
      </c>
      <c r="G30" t="str">
        <f>IF(B30="yes",VLOOKUP(A30,'FAO crop mapping'!$A$22:$H$60,5,FALSE), "")</f>
        <v/>
      </c>
      <c r="H30" t="str">
        <f>IF(B31="yes",VLOOKUP(A31,'FAO crop mapping'!$A$22:$H$60,6,FALSE), "")</f>
        <v/>
      </c>
      <c r="I30" t="str">
        <f>IF(B31="yes",VLOOKUP(A31,'FAO crop mapping'!$A$22:$H$60,7,FALSE), "")</f>
        <v/>
      </c>
      <c r="J30" t="str">
        <f>IF(B31="yes",VLOOKUP(A31,'FAO crop mapping'!$A$22:$H$60,8,FALSE), "")</f>
        <v/>
      </c>
    </row>
    <row r="31" spans="1:10" x14ac:dyDescent="0.25">
      <c r="A31" t="s">
        <v>105</v>
      </c>
      <c r="B31" t="s">
        <v>80</v>
      </c>
      <c r="C31" t="s">
        <v>80</v>
      </c>
      <c r="D31" t="str">
        <f>IF(B31="yes",VLOOKUP(A31,'FAO crop mapping'!$A$22:$H$60,2,FALSE), "")</f>
        <v/>
      </c>
      <c r="E31" t="str">
        <f>IF(B31="yes",VLOOKUP(A31,'FAO crop mapping'!$A$22:$H$60,3,FALSE), "")</f>
        <v/>
      </c>
      <c r="F31" t="str">
        <f>IF(B31="yes",VLOOKUP(A31,'FAO crop mapping'!$A$22:$H$60,4,FALSE), "")</f>
        <v/>
      </c>
      <c r="G31" t="str">
        <f>IF(B31="yes",VLOOKUP(A31,'FAO crop mapping'!$A$22:$H$60,5,FALSE), "")</f>
        <v/>
      </c>
      <c r="H31" t="str">
        <f>IF(B32="yes",VLOOKUP(A32,'FAO crop mapping'!$A$22:$H$60,6,FALSE), "")</f>
        <v/>
      </c>
      <c r="I31" t="str">
        <f>IF(B32="yes",VLOOKUP(A32,'FAO crop mapping'!$A$22:$H$60,7,FALSE), "")</f>
        <v/>
      </c>
      <c r="J31" t="str">
        <f>IF(B32="yes",VLOOKUP(A32,'FAO crop mapping'!$A$22:$H$60,8,FALSE), "")</f>
        <v/>
      </c>
    </row>
    <row r="32" spans="1:10" x14ac:dyDescent="0.25">
      <c r="A32" t="s">
        <v>106</v>
      </c>
      <c r="B32" t="s">
        <v>80</v>
      </c>
      <c r="C32" t="s">
        <v>80</v>
      </c>
      <c r="D32" t="str">
        <f>IF(B32="yes",VLOOKUP(A32,'FAO crop mapping'!$A$22:$H$60,2,FALSE), "")</f>
        <v/>
      </c>
      <c r="E32" t="str">
        <f>IF(B32="yes",VLOOKUP(A32,'FAO crop mapping'!$A$22:$H$60,3,FALSE), "")</f>
        <v/>
      </c>
      <c r="F32" t="str">
        <f>IF(B32="yes",VLOOKUP(A32,'FAO crop mapping'!$A$22:$H$60,4,FALSE), "")</f>
        <v/>
      </c>
      <c r="G32" t="str">
        <f>IF(B32="yes",VLOOKUP(A32,'FAO crop mapping'!$A$22:$H$60,5,FALSE), "")</f>
        <v/>
      </c>
      <c r="H32" t="str">
        <f>IF(B33="yes",VLOOKUP(A33,'FAO crop mapping'!$A$22:$H$60,6,FALSE), "")</f>
        <v/>
      </c>
      <c r="I32" t="str">
        <f>IF(B33="yes",VLOOKUP(A33,'FAO crop mapping'!$A$22:$H$60,7,FALSE), "")</f>
        <v/>
      </c>
      <c r="J32" t="str">
        <f>IF(B33="yes",VLOOKUP(A33,'FAO crop mapping'!$A$22:$H$60,8,FALSE), "")</f>
        <v/>
      </c>
    </row>
    <row r="33" spans="1:10" x14ac:dyDescent="0.25">
      <c r="A33" t="s">
        <v>107</v>
      </c>
      <c r="B33" t="s">
        <v>80</v>
      </c>
      <c r="C33" t="s">
        <v>80</v>
      </c>
      <c r="D33" t="str">
        <f>IF(B33="yes",VLOOKUP(A33,'FAO crop mapping'!$A$22:$H$60,2,FALSE), "")</f>
        <v/>
      </c>
      <c r="E33" t="str">
        <f>IF(B33="yes",VLOOKUP(A33,'FAO crop mapping'!$A$22:$H$60,3,FALSE), "")</f>
        <v/>
      </c>
      <c r="F33" t="str">
        <f>IF(B33="yes",VLOOKUP(A33,'FAO crop mapping'!$A$22:$H$60,4,FALSE), "")</f>
        <v/>
      </c>
      <c r="G33" t="str">
        <f>IF(B33="yes",VLOOKUP(A33,'FAO crop mapping'!$A$22:$H$60,5,FALSE), "")</f>
        <v/>
      </c>
      <c r="H33" t="e">
        <f>IF(B34="yes",VLOOKUP(A34,'FAO crop mapping'!$A$22:$H$60,6,FALSE), "")</f>
        <v>#N/A</v>
      </c>
      <c r="I33" t="e">
        <f>IF(B34="yes",VLOOKUP(A34,'FAO crop mapping'!$A$22:$H$60,7,FALSE), "")</f>
        <v>#N/A</v>
      </c>
      <c r="J33" t="e">
        <f>IF(B34="yes",VLOOKUP(A34,'FAO crop mapping'!$A$22:$H$60,8,FALSE), "")</f>
        <v>#N/A</v>
      </c>
    </row>
    <row r="34" spans="1:10" x14ac:dyDescent="0.25">
      <c r="A34" t="s">
        <v>108</v>
      </c>
      <c r="B34" t="s">
        <v>79</v>
      </c>
      <c r="C34" t="s">
        <v>80</v>
      </c>
      <c r="D34" t="e">
        <f>IF(B34="yes",VLOOKUP(A34,'FAO crop mapping'!$A$22:$H$60,2,FALSE), "")</f>
        <v>#N/A</v>
      </c>
      <c r="E34" t="e">
        <f>IF(B34="yes",VLOOKUP(A34,'FAO crop mapping'!$A$22:$H$60,3,FALSE), "")</f>
        <v>#N/A</v>
      </c>
      <c r="F34" t="e">
        <f>IF(B34="yes",VLOOKUP(A34,'FAO crop mapping'!$A$22:$H$60,4,FALSE), "")</f>
        <v>#N/A</v>
      </c>
      <c r="G34" t="e">
        <f>IF(B34="yes",VLOOKUP(A34,'FAO crop mapping'!$A$22:$H$60,5,FALSE), "")</f>
        <v>#N/A</v>
      </c>
      <c r="H34" t="str">
        <f>IF(B35="yes",VLOOKUP(A35,'FAO crop mapping'!$A$22:$H$60,6,FALSE), "")</f>
        <v/>
      </c>
      <c r="I34" t="str">
        <f>IF(B35="yes",VLOOKUP(A35,'FAO crop mapping'!$A$22:$H$60,7,FALSE), "")</f>
        <v/>
      </c>
      <c r="J34" t="str">
        <f>IF(B35="yes",VLOOKUP(A35,'FAO crop mapping'!$A$22:$H$60,8,FALSE), "")</f>
        <v/>
      </c>
    </row>
    <row r="35" spans="1:10" x14ac:dyDescent="0.25">
      <c r="A35" t="s">
        <v>109</v>
      </c>
      <c r="B35" t="s">
        <v>80</v>
      </c>
      <c r="C35" t="s">
        <v>80</v>
      </c>
      <c r="D35" t="str">
        <f>IF(B35="yes",VLOOKUP(A35,'FAO crop mapping'!$A$22:$H$60,2,FALSE), "")</f>
        <v/>
      </c>
      <c r="E35" t="str">
        <f>IF(B35="yes",VLOOKUP(A35,'FAO crop mapping'!$A$22:$H$60,3,FALSE), "")</f>
        <v/>
      </c>
      <c r="F35" t="str">
        <f>IF(B35="yes",VLOOKUP(A35,'FAO crop mapping'!$A$22:$H$60,4,FALSE), "")</f>
        <v/>
      </c>
      <c r="G35" t="str">
        <f>IF(B35="yes",VLOOKUP(A35,'FAO crop mapping'!$A$22:$H$60,5,FALSE), "")</f>
        <v/>
      </c>
      <c r="H35" t="e">
        <f>IF(B36="yes",VLOOKUP(A36,'FAO crop mapping'!$A$22:$H$60,6,FALSE), "")</f>
        <v>#N/A</v>
      </c>
      <c r="I35" t="e">
        <f>IF(B36="yes",VLOOKUP(A36,'FAO crop mapping'!$A$22:$H$60,7,FALSE), "")</f>
        <v>#N/A</v>
      </c>
      <c r="J35" t="e">
        <f>IF(B36="yes",VLOOKUP(A36,'FAO crop mapping'!$A$22:$H$60,8,FALSE), "")</f>
        <v>#N/A</v>
      </c>
    </row>
    <row r="36" spans="1:10" x14ac:dyDescent="0.25">
      <c r="A36" t="s">
        <v>110</v>
      </c>
      <c r="B36" t="s">
        <v>79</v>
      </c>
      <c r="C36" t="s">
        <v>80</v>
      </c>
      <c r="D36" t="e">
        <f>IF(B36="yes",VLOOKUP(A36,'FAO crop mapping'!$A$22:$H$60,2,FALSE), "")</f>
        <v>#N/A</v>
      </c>
      <c r="E36" t="e">
        <f>IF(B36="yes",VLOOKUP(A36,'FAO crop mapping'!$A$22:$H$60,3,FALSE), "")</f>
        <v>#N/A</v>
      </c>
      <c r="F36" t="e">
        <f>IF(B36="yes",VLOOKUP(A36,'FAO crop mapping'!$A$22:$H$60,4,FALSE), "")</f>
        <v>#N/A</v>
      </c>
      <c r="G36" t="e">
        <f>IF(B36="yes",VLOOKUP(A36,'FAO crop mapping'!$A$22:$H$60,5,FALSE), "")</f>
        <v>#N/A</v>
      </c>
      <c r="H36" t="e">
        <f>IF(B37="yes",VLOOKUP(A37,'FAO crop mapping'!$A$22:$H$60,6,FALSE), "")</f>
        <v>#N/A</v>
      </c>
      <c r="I36" t="e">
        <f>IF(B37="yes",VLOOKUP(A37,'FAO crop mapping'!$A$22:$H$60,7,FALSE), "")</f>
        <v>#N/A</v>
      </c>
      <c r="J36" t="e">
        <f>IF(B37="yes",VLOOKUP(A37,'FAO crop mapping'!$A$22:$H$60,8,FALSE), "")</f>
        <v>#N/A</v>
      </c>
    </row>
    <row r="37" spans="1:10" x14ac:dyDescent="0.25">
      <c r="A37" t="s">
        <v>111</v>
      </c>
      <c r="B37" t="s">
        <v>79</v>
      </c>
      <c r="C37" t="s">
        <v>80</v>
      </c>
      <c r="D37" t="e">
        <f>IF(B37="yes",VLOOKUP(A37,'FAO crop mapping'!$A$22:$H$60,2,FALSE), "")</f>
        <v>#N/A</v>
      </c>
      <c r="E37" t="e">
        <f>IF(B37="yes",VLOOKUP(A37,'FAO crop mapping'!$A$22:$H$60,3,FALSE), "")</f>
        <v>#N/A</v>
      </c>
      <c r="F37" t="e">
        <f>IF(B37="yes",VLOOKUP(A37,'FAO crop mapping'!$A$22:$H$60,4,FALSE), "")</f>
        <v>#N/A</v>
      </c>
      <c r="G37" t="e">
        <f>IF(B37="yes",VLOOKUP(A37,'FAO crop mapping'!$A$22:$H$60,5,FALSE), "")</f>
        <v>#N/A</v>
      </c>
      <c r="H37">
        <f>IF(B38="yes",VLOOKUP(A38,'FAO crop mapping'!$A$22:$H$60,6,FALSE), "")</f>
        <v>0.4</v>
      </c>
      <c r="I37">
        <f>IF(B38="yes",VLOOKUP(A38,'FAO crop mapping'!$A$22:$H$60,7,FALSE), "")</f>
        <v>0.2</v>
      </c>
      <c r="J37">
        <f>IF(B38="yes",VLOOKUP(A38,'FAO crop mapping'!$A$22:$H$60,8,FALSE), "")</f>
        <v>1.4E-2</v>
      </c>
    </row>
    <row r="38" spans="1:10" x14ac:dyDescent="0.25">
      <c r="A38" t="s">
        <v>42</v>
      </c>
      <c r="B38" t="s">
        <v>79</v>
      </c>
      <c r="C38" t="s">
        <v>80</v>
      </c>
      <c r="D38">
        <f>IF(B38="yes",VLOOKUP(A38,'FAO crop mapping'!$A$22:$H$60,2,FALSE), "")</f>
        <v>0.22</v>
      </c>
      <c r="E38">
        <f>IF(B38="yes",VLOOKUP(A38,'FAO crop mapping'!$A$22:$H$60,3,FALSE), "")</f>
        <v>0.1</v>
      </c>
      <c r="F38">
        <f>IF(B38="yes",VLOOKUP(A38,'FAO crop mapping'!$A$22:$H$60,4,FALSE), "")</f>
        <v>1.06</v>
      </c>
      <c r="G38">
        <f>IF(B38="yes",VLOOKUP(A38,'FAO crop mapping'!$A$22:$H$60,5,FALSE), "")</f>
        <v>1.9E-2</v>
      </c>
      <c r="H38" t="e">
        <f>IF(B39="yes",VLOOKUP(A39,'FAO crop mapping'!$A$22:$H$60,6,FALSE), "")</f>
        <v>#N/A</v>
      </c>
      <c r="I38" t="e">
        <f>IF(B39="yes",VLOOKUP(A39,'FAO crop mapping'!$A$22:$H$60,7,FALSE), "")</f>
        <v>#N/A</v>
      </c>
      <c r="J38" t="e">
        <f>IF(B39="yes",VLOOKUP(A39,'FAO crop mapping'!$A$22:$H$60,8,FALSE), "")</f>
        <v>#N/A</v>
      </c>
    </row>
    <row r="39" spans="1:10" x14ac:dyDescent="0.25">
      <c r="A39" t="s">
        <v>112</v>
      </c>
      <c r="B39" t="s">
        <v>79</v>
      </c>
      <c r="C39" t="s">
        <v>79</v>
      </c>
      <c r="D39" t="e">
        <f>IF(B39="yes",VLOOKUP(A39,'FAO crop mapping'!$A$22:$H$60,2,FALSE), "")</f>
        <v>#N/A</v>
      </c>
      <c r="E39" t="e">
        <f>IF(B39="yes",VLOOKUP(A39,'FAO crop mapping'!$A$22:$H$60,3,FALSE), "")</f>
        <v>#N/A</v>
      </c>
      <c r="F39" t="e">
        <f>IF(B39="yes",VLOOKUP(A39,'FAO crop mapping'!$A$22:$H$60,4,FALSE), "")</f>
        <v>#N/A</v>
      </c>
      <c r="G39" t="e">
        <f>IF(B39="yes",VLOOKUP(A39,'FAO crop mapping'!$A$22:$H$60,5,FALSE), "")</f>
        <v>#N/A</v>
      </c>
      <c r="H39" t="str">
        <f>IF(B40="yes",VLOOKUP(A40,'FAO crop mapping'!$A$22:$H$60,6,FALSE), "")</f>
        <v/>
      </c>
      <c r="I39" t="str">
        <f>IF(B40="yes",VLOOKUP(A40,'FAO crop mapping'!$A$22:$H$60,7,FALSE), "")</f>
        <v/>
      </c>
      <c r="J39" t="str">
        <f>IF(B40="yes",VLOOKUP(A40,'FAO crop mapping'!$A$22:$H$60,8,FALSE), "")</f>
        <v/>
      </c>
    </row>
    <row r="40" spans="1:10" x14ac:dyDescent="0.25">
      <c r="A40" t="s">
        <v>113</v>
      </c>
      <c r="B40" t="s">
        <v>80</v>
      </c>
      <c r="C40" t="s">
        <v>80</v>
      </c>
      <c r="D40" t="str">
        <f>IF(B40="yes",VLOOKUP(A40,'FAO crop mapping'!$A$22:$H$60,2,FALSE), "")</f>
        <v/>
      </c>
      <c r="E40" t="str">
        <f>IF(B40="yes",VLOOKUP(A40,'FAO crop mapping'!$A$22:$H$60,3,FALSE), "")</f>
        <v/>
      </c>
      <c r="F40" t="str">
        <f>IF(B40="yes",VLOOKUP(A40,'FAO crop mapping'!$A$22:$H$60,4,FALSE), "")</f>
        <v/>
      </c>
      <c r="G40" t="str">
        <f>IF(B40="yes",VLOOKUP(A40,'FAO crop mapping'!$A$22:$H$60,5,FALSE), "")</f>
        <v/>
      </c>
      <c r="H40" t="str">
        <f>IF(B41="yes",VLOOKUP(A41,'FAO crop mapping'!$A$22:$H$60,6,FALSE), "")</f>
        <v/>
      </c>
      <c r="I40" t="str">
        <f>IF(B41="yes",VLOOKUP(A41,'FAO crop mapping'!$A$22:$H$60,7,FALSE), "")</f>
        <v/>
      </c>
      <c r="J40" t="str">
        <f>IF(B41="yes",VLOOKUP(A41,'FAO crop mapping'!$A$22:$H$60,8,FALSE), "")</f>
        <v/>
      </c>
    </row>
    <row r="41" spans="1:10" x14ac:dyDescent="0.25">
      <c r="A41" t="s">
        <v>114</v>
      </c>
      <c r="B41" t="s">
        <v>80</v>
      </c>
      <c r="C41" t="s">
        <v>80</v>
      </c>
      <c r="D41" t="str">
        <f>IF(B41="yes",VLOOKUP(A41,'FAO crop mapping'!$A$22:$H$60,2,FALSE), "")</f>
        <v/>
      </c>
      <c r="E41" t="str">
        <f>IF(B41="yes",VLOOKUP(A41,'FAO crop mapping'!$A$22:$H$60,3,FALSE), "")</f>
        <v/>
      </c>
      <c r="F41" t="str">
        <f>IF(B41="yes",VLOOKUP(A41,'FAO crop mapping'!$A$22:$H$60,4,FALSE), "")</f>
        <v/>
      </c>
      <c r="G41" t="str">
        <f>IF(B41="yes",VLOOKUP(A41,'FAO crop mapping'!$A$22:$H$60,5,FALSE), "")</f>
        <v/>
      </c>
      <c r="H41" t="e">
        <f>IF(B42="yes",VLOOKUP(A42,'FAO crop mapping'!$A$22:$H$60,6,FALSE), "")</f>
        <v>#N/A</v>
      </c>
      <c r="I41" t="e">
        <f>IF(B42="yes",VLOOKUP(A42,'FAO crop mapping'!$A$22:$H$60,7,FALSE), "")</f>
        <v>#N/A</v>
      </c>
      <c r="J41" t="e">
        <f>IF(B42="yes",VLOOKUP(A42,'FAO crop mapping'!$A$22:$H$60,8,FALSE), "")</f>
        <v>#N/A</v>
      </c>
    </row>
    <row r="42" spans="1:10" x14ac:dyDescent="0.25">
      <c r="A42" t="s">
        <v>115</v>
      </c>
      <c r="B42" t="s">
        <v>79</v>
      </c>
      <c r="C42" t="s">
        <v>79</v>
      </c>
      <c r="D42" t="e">
        <f>IF(B42="yes",VLOOKUP(A42,'FAO crop mapping'!$A$22:$H$60,2,FALSE), "")</f>
        <v>#N/A</v>
      </c>
      <c r="E42" t="e">
        <f>IF(B42="yes",VLOOKUP(A42,'FAO crop mapping'!$A$22:$H$60,3,FALSE), "")</f>
        <v>#N/A</v>
      </c>
      <c r="F42" t="e">
        <f>IF(B42="yes",VLOOKUP(A42,'FAO crop mapping'!$A$22:$H$60,4,FALSE), "")</f>
        <v>#N/A</v>
      </c>
      <c r="G42" t="e">
        <f>IF(B42="yes",VLOOKUP(A42,'FAO crop mapping'!$A$22:$H$60,5,FALSE), "")</f>
        <v>#N/A</v>
      </c>
      <c r="H42" t="e">
        <f>IF(B43="yes",VLOOKUP(A43,'FAO crop mapping'!$A$22:$H$60,6,FALSE), "")</f>
        <v>#N/A</v>
      </c>
      <c r="I42" t="e">
        <f>IF(B43="yes",VLOOKUP(A43,'FAO crop mapping'!$A$22:$H$60,7,FALSE), "")</f>
        <v>#N/A</v>
      </c>
      <c r="J42" t="e">
        <f>IF(B43="yes",VLOOKUP(A43,'FAO crop mapping'!$A$22:$H$60,8,FALSE), "")</f>
        <v>#N/A</v>
      </c>
    </row>
    <row r="43" spans="1:10" x14ac:dyDescent="0.25">
      <c r="A43" t="s">
        <v>116</v>
      </c>
      <c r="B43" t="s">
        <v>79</v>
      </c>
      <c r="C43" t="s">
        <v>80</v>
      </c>
      <c r="D43" t="e">
        <f>IF(B43="yes",VLOOKUP(A43,'FAO crop mapping'!$A$22:$H$60,2,FALSE), "")</f>
        <v>#N/A</v>
      </c>
      <c r="E43" t="e">
        <f>IF(B43="yes",VLOOKUP(A43,'FAO crop mapping'!$A$22:$H$60,3,FALSE), "")</f>
        <v>#N/A</v>
      </c>
      <c r="F43" t="e">
        <f>IF(B43="yes",VLOOKUP(A43,'FAO crop mapping'!$A$22:$H$60,4,FALSE), "")</f>
        <v>#N/A</v>
      </c>
      <c r="G43" t="e">
        <f>IF(B43="yes",VLOOKUP(A43,'FAO crop mapping'!$A$22:$H$60,5,FALSE), "")</f>
        <v>#N/A</v>
      </c>
      <c r="H43" t="str">
        <f>IF(B44="yes",VLOOKUP(A44,'FAO crop mapping'!$A$22:$H$60,6,FALSE), "")</f>
        <v/>
      </c>
      <c r="I43" t="str">
        <f>IF(B44="yes",VLOOKUP(A44,'FAO crop mapping'!$A$22:$H$60,7,FALSE), "")</f>
        <v/>
      </c>
      <c r="J43" t="str">
        <f>IF(B44="yes",VLOOKUP(A44,'FAO crop mapping'!$A$22:$H$60,8,FALSE), "")</f>
        <v/>
      </c>
    </row>
    <row r="44" spans="1:10" x14ac:dyDescent="0.25">
      <c r="A44" t="s">
        <v>117</v>
      </c>
      <c r="B44" t="s">
        <v>80</v>
      </c>
      <c r="C44" t="s">
        <v>80</v>
      </c>
      <c r="D44" t="str">
        <f>IF(B44="yes",VLOOKUP(A44,'FAO crop mapping'!$A$22:$H$60,2,FALSE), "")</f>
        <v/>
      </c>
      <c r="E44" t="str">
        <f>IF(B44="yes",VLOOKUP(A44,'FAO crop mapping'!$A$22:$H$60,3,FALSE), "")</f>
        <v/>
      </c>
      <c r="F44" t="str">
        <f>IF(B44="yes",VLOOKUP(A44,'FAO crop mapping'!$A$22:$H$60,4,FALSE), "")</f>
        <v/>
      </c>
      <c r="G44" t="str">
        <f>IF(B44="yes",VLOOKUP(A44,'FAO crop mapping'!$A$22:$H$60,5,FALSE), "")</f>
        <v/>
      </c>
      <c r="H44" t="str">
        <f>IF(B45="yes",VLOOKUP(A45,'FAO crop mapping'!$A$22:$H$60,6,FALSE), "")</f>
        <v/>
      </c>
      <c r="I44" t="str">
        <f>IF(B45="yes",VLOOKUP(A45,'FAO crop mapping'!$A$22:$H$60,7,FALSE), "")</f>
        <v/>
      </c>
      <c r="J44" t="str">
        <f>IF(B45="yes",VLOOKUP(A45,'FAO crop mapping'!$A$22:$H$60,8,FALSE), "")</f>
        <v/>
      </c>
    </row>
    <row r="45" spans="1:10" x14ac:dyDescent="0.25">
      <c r="A45" t="s">
        <v>118</v>
      </c>
      <c r="B45" t="s">
        <v>80</v>
      </c>
      <c r="C45" t="s">
        <v>80</v>
      </c>
      <c r="D45" t="str">
        <f>IF(B45="yes",VLOOKUP(A45,'FAO crop mapping'!$A$22:$H$60,2,FALSE), "")</f>
        <v/>
      </c>
      <c r="E45" t="str">
        <f>IF(B45="yes",VLOOKUP(A45,'FAO crop mapping'!$A$22:$H$60,3,FALSE), "")</f>
        <v/>
      </c>
      <c r="F45" t="str">
        <f>IF(B45="yes",VLOOKUP(A45,'FAO crop mapping'!$A$22:$H$60,4,FALSE), "")</f>
        <v/>
      </c>
      <c r="G45" t="str">
        <f>IF(B45="yes",VLOOKUP(A45,'FAO crop mapping'!$A$22:$H$60,5,FALSE), "")</f>
        <v/>
      </c>
      <c r="H45" t="e">
        <f>IF(B46="yes",VLOOKUP(A46,'FAO crop mapping'!$A$22:$H$60,6,FALSE), "")</f>
        <v>#N/A</v>
      </c>
      <c r="I45" t="e">
        <f>IF(B46="yes",VLOOKUP(A46,'FAO crop mapping'!$A$22:$H$60,7,FALSE), "")</f>
        <v>#N/A</v>
      </c>
      <c r="J45" t="e">
        <f>IF(B46="yes",VLOOKUP(A46,'FAO crop mapping'!$A$22:$H$60,8,FALSE), "")</f>
        <v>#N/A</v>
      </c>
    </row>
    <row r="46" spans="1:10" x14ac:dyDescent="0.25">
      <c r="A46" t="s">
        <v>119</v>
      </c>
      <c r="B46" t="s">
        <v>79</v>
      </c>
      <c r="C46" t="s">
        <v>80</v>
      </c>
      <c r="D46" t="e">
        <f>IF(B46="yes",VLOOKUP(A46,'FAO crop mapping'!$A$22:$H$60,2,FALSE), "")</f>
        <v>#N/A</v>
      </c>
      <c r="E46" t="e">
        <f>IF(B46="yes",VLOOKUP(A46,'FAO crop mapping'!$A$22:$H$60,3,FALSE), "")</f>
        <v>#N/A</v>
      </c>
      <c r="F46" t="e">
        <f>IF(B46="yes",VLOOKUP(A46,'FAO crop mapping'!$A$22:$H$60,4,FALSE), "")</f>
        <v>#N/A</v>
      </c>
      <c r="G46" t="e">
        <f>IF(B46="yes",VLOOKUP(A46,'FAO crop mapping'!$A$22:$H$60,5,FALSE), "")</f>
        <v>#N/A</v>
      </c>
      <c r="H46" t="e">
        <f>IF(B47="yes",VLOOKUP(A47,'FAO crop mapping'!$A$22:$H$60,6,FALSE), "")</f>
        <v>#N/A</v>
      </c>
      <c r="I46" t="e">
        <f>IF(B47="yes",VLOOKUP(A47,'FAO crop mapping'!$A$22:$H$60,7,FALSE), "")</f>
        <v>#N/A</v>
      </c>
      <c r="J46" t="e">
        <f>IF(B47="yes",VLOOKUP(A47,'FAO crop mapping'!$A$22:$H$60,8,FALSE), "")</f>
        <v>#N/A</v>
      </c>
    </row>
    <row r="47" spans="1:10" x14ac:dyDescent="0.25">
      <c r="A47" t="s">
        <v>120</v>
      </c>
      <c r="B47" t="s">
        <v>79</v>
      </c>
      <c r="C47" t="s">
        <v>79</v>
      </c>
      <c r="D47" t="e">
        <f>IF(B47="yes",VLOOKUP(A47,'FAO crop mapping'!$A$22:$H$60,2,FALSE), "")</f>
        <v>#N/A</v>
      </c>
      <c r="E47" t="e">
        <f>IF(B47="yes",VLOOKUP(A47,'FAO crop mapping'!$A$22:$H$60,3,FALSE), "")</f>
        <v>#N/A</v>
      </c>
      <c r="F47" t="e">
        <f>IF(B47="yes",VLOOKUP(A47,'FAO crop mapping'!$A$22:$H$60,4,FALSE), "")</f>
        <v>#N/A</v>
      </c>
      <c r="G47" t="e">
        <f>IF(B47="yes",VLOOKUP(A47,'FAO crop mapping'!$A$22:$H$60,5,FALSE), "")</f>
        <v>#N/A</v>
      </c>
      <c r="H47" t="str">
        <f>IF(B48="yes",VLOOKUP(A48,'FAO crop mapping'!$A$22:$H$60,6,FALSE), "")</f>
        <v/>
      </c>
      <c r="I47" t="str">
        <f>IF(B48="yes",VLOOKUP(A48,'FAO crop mapping'!$A$22:$H$60,7,FALSE), "")</f>
        <v/>
      </c>
      <c r="J47" t="str">
        <f>IF(B48="yes",VLOOKUP(A48,'FAO crop mapping'!$A$22:$H$60,8,FALSE), "")</f>
        <v/>
      </c>
    </row>
    <row r="48" spans="1:10" x14ac:dyDescent="0.25">
      <c r="A48" t="s">
        <v>121</v>
      </c>
      <c r="B48" t="s">
        <v>80</v>
      </c>
      <c r="C48" t="s">
        <v>80</v>
      </c>
      <c r="D48" t="str">
        <f>IF(B48="yes",VLOOKUP(A48,'FAO crop mapping'!$A$22:$H$60,2,FALSE), "")</f>
        <v/>
      </c>
      <c r="E48" t="str">
        <f>IF(B48="yes",VLOOKUP(A48,'FAO crop mapping'!$A$22:$H$60,3,FALSE), "")</f>
        <v/>
      </c>
      <c r="F48" t="str">
        <f>IF(B48="yes",VLOOKUP(A48,'FAO crop mapping'!$A$22:$H$60,4,FALSE), "")</f>
        <v/>
      </c>
      <c r="G48" t="str">
        <f>IF(B48="yes",VLOOKUP(A48,'FAO crop mapping'!$A$22:$H$60,5,FALSE), "")</f>
        <v/>
      </c>
      <c r="H48" t="str">
        <f>IF(B49="yes",VLOOKUP(A49,'FAO crop mapping'!$A$22:$H$60,6,FALSE), "")</f>
        <v/>
      </c>
      <c r="I48" t="str">
        <f>IF(B49="yes",VLOOKUP(A49,'FAO crop mapping'!$A$22:$H$60,7,FALSE), "")</f>
        <v/>
      </c>
      <c r="J48" t="str">
        <f>IF(B49="yes",VLOOKUP(A49,'FAO crop mapping'!$A$22:$H$60,8,FALSE), "")</f>
        <v/>
      </c>
    </row>
    <row r="49" spans="1:10" x14ac:dyDescent="0.25">
      <c r="A49" t="s">
        <v>122</v>
      </c>
      <c r="B49" t="s">
        <v>80</v>
      </c>
      <c r="C49" t="s">
        <v>80</v>
      </c>
      <c r="D49" t="str">
        <f>IF(B49="yes",VLOOKUP(A49,'FAO crop mapping'!$A$22:$H$60,2,FALSE), "")</f>
        <v/>
      </c>
      <c r="E49" t="str">
        <f>IF(B49="yes",VLOOKUP(A49,'FAO crop mapping'!$A$22:$H$60,3,FALSE), "")</f>
        <v/>
      </c>
      <c r="F49" t="str">
        <f>IF(B49="yes",VLOOKUP(A49,'FAO crop mapping'!$A$22:$H$60,4,FALSE), "")</f>
        <v/>
      </c>
      <c r="G49" t="str">
        <f>IF(B49="yes",VLOOKUP(A49,'FAO crop mapping'!$A$22:$H$60,5,FALSE), "")</f>
        <v/>
      </c>
      <c r="H49" t="str">
        <f>IF(B50="yes",VLOOKUP(A50,'FAO crop mapping'!$A$22:$H$60,6,FALSE), "")</f>
        <v/>
      </c>
      <c r="I49" t="str">
        <f>IF(B50="yes",VLOOKUP(A50,'FAO crop mapping'!$A$22:$H$60,7,FALSE), "")</f>
        <v/>
      </c>
      <c r="J49" t="str">
        <f>IF(B50="yes",VLOOKUP(A50,'FAO crop mapping'!$A$22:$H$60,8,FALSE), "")</f>
        <v/>
      </c>
    </row>
    <row r="50" spans="1:10" x14ac:dyDescent="0.25">
      <c r="A50" t="s">
        <v>123</v>
      </c>
      <c r="B50" t="s">
        <v>80</v>
      </c>
      <c r="C50" t="s">
        <v>80</v>
      </c>
      <c r="D50" t="str">
        <f>IF(B50="yes",VLOOKUP(A50,'FAO crop mapping'!$A$22:$H$60,2,FALSE), "")</f>
        <v/>
      </c>
      <c r="E50" t="str">
        <f>IF(B50="yes",VLOOKUP(A50,'FAO crop mapping'!$A$22:$H$60,3,FALSE), "")</f>
        <v/>
      </c>
      <c r="F50" t="str">
        <f>IF(B50="yes",VLOOKUP(A50,'FAO crop mapping'!$A$22:$H$60,4,FALSE), "")</f>
        <v/>
      </c>
      <c r="G50" t="str">
        <f>IF(B50="yes",VLOOKUP(A50,'FAO crop mapping'!$A$22:$H$60,5,FALSE), "")</f>
        <v/>
      </c>
      <c r="H50" t="str">
        <f>IF(B51="yes",VLOOKUP(A51,'FAO crop mapping'!$A$22:$H$60,6,FALSE), "")</f>
        <v/>
      </c>
      <c r="I50" t="str">
        <f>IF(B51="yes",VLOOKUP(A51,'FAO crop mapping'!$A$22:$H$60,7,FALSE), "")</f>
        <v/>
      </c>
      <c r="J50" t="str">
        <f>IF(B51="yes",VLOOKUP(A51,'FAO crop mapping'!$A$22:$H$60,8,FALSE), "")</f>
        <v/>
      </c>
    </row>
    <row r="51" spans="1:10" x14ac:dyDescent="0.25">
      <c r="A51" t="s">
        <v>124</v>
      </c>
      <c r="B51" t="s">
        <v>80</v>
      </c>
      <c r="C51" t="s">
        <v>80</v>
      </c>
      <c r="D51" t="str">
        <f>IF(B51="yes",VLOOKUP(A51,'FAO crop mapping'!$A$22:$H$60,2,FALSE), "")</f>
        <v/>
      </c>
      <c r="E51" t="str">
        <f>IF(B51="yes",VLOOKUP(A51,'FAO crop mapping'!$A$22:$H$60,3,FALSE), "")</f>
        <v/>
      </c>
      <c r="F51" t="str">
        <f>IF(B51="yes",VLOOKUP(A51,'FAO crop mapping'!$A$22:$H$60,4,FALSE), "")</f>
        <v/>
      </c>
      <c r="G51" t="str">
        <f>IF(B51="yes",VLOOKUP(A51,'FAO crop mapping'!$A$22:$H$60,5,FALSE), "")</f>
        <v/>
      </c>
      <c r="H51" t="str">
        <f>IF(B52="yes",VLOOKUP(A52,'FAO crop mapping'!$A$22:$H$60,6,FALSE), "")</f>
        <v/>
      </c>
      <c r="I51" t="str">
        <f>IF(B52="yes",VLOOKUP(A52,'FAO crop mapping'!$A$22:$H$60,7,FALSE), "")</f>
        <v/>
      </c>
      <c r="J51" t="str">
        <f>IF(B52="yes",VLOOKUP(A52,'FAO crop mapping'!$A$22:$H$60,8,FALSE), "")</f>
        <v/>
      </c>
    </row>
    <row r="52" spans="1:10" x14ac:dyDescent="0.25">
      <c r="A52" t="s">
        <v>125</v>
      </c>
      <c r="B52" t="s">
        <v>80</v>
      </c>
      <c r="C52" t="s">
        <v>80</v>
      </c>
      <c r="D52" t="str">
        <f>IF(B52="yes",VLOOKUP(A52,'FAO crop mapping'!$A$22:$H$60,2,FALSE), "")</f>
        <v/>
      </c>
      <c r="E52" t="str">
        <f>IF(B52="yes",VLOOKUP(A52,'FAO crop mapping'!$A$22:$H$60,3,FALSE), "")</f>
        <v/>
      </c>
      <c r="F52" t="str">
        <f>IF(B52="yes",VLOOKUP(A52,'FAO crop mapping'!$A$22:$H$60,4,FALSE), "")</f>
        <v/>
      </c>
      <c r="G52" t="str">
        <f>IF(B52="yes",VLOOKUP(A52,'FAO crop mapping'!$A$22:$H$60,5,FALSE), "")</f>
        <v/>
      </c>
      <c r="H52" t="e">
        <f>IF(B53="yes",VLOOKUP(A53,'FAO crop mapping'!$A$22:$H$60,6,FALSE), "")</f>
        <v>#N/A</v>
      </c>
      <c r="I52" t="e">
        <f>IF(B53="yes",VLOOKUP(A53,'FAO crop mapping'!$A$22:$H$60,7,FALSE), "")</f>
        <v>#N/A</v>
      </c>
      <c r="J52" t="e">
        <f>IF(B53="yes",VLOOKUP(A53,'FAO crop mapping'!$A$22:$H$60,8,FALSE), "")</f>
        <v>#N/A</v>
      </c>
    </row>
    <row r="53" spans="1:10" x14ac:dyDescent="0.25">
      <c r="A53" t="s">
        <v>126</v>
      </c>
      <c r="B53" t="s">
        <v>79</v>
      </c>
      <c r="C53" t="s">
        <v>80</v>
      </c>
      <c r="D53" t="e">
        <f>IF(B53="yes",VLOOKUP(A53,'FAO crop mapping'!$A$22:$H$60,2,FALSE), "")</f>
        <v>#N/A</v>
      </c>
      <c r="E53" t="e">
        <f>IF(B53="yes",VLOOKUP(A53,'FAO crop mapping'!$A$22:$H$60,3,FALSE), "")</f>
        <v>#N/A</v>
      </c>
      <c r="F53" t="e">
        <f>IF(B53="yes",VLOOKUP(A53,'FAO crop mapping'!$A$22:$H$60,4,FALSE), "")</f>
        <v>#N/A</v>
      </c>
      <c r="G53" t="e">
        <f>IF(B53="yes",VLOOKUP(A53,'FAO crop mapping'!$A$22:$H$60,5,FALSE), "")</f>
        <v>#N/A</v>
      </c>
      <c r="H53" t="e">
        <f>IF(B54="yes",VLOOKUP(A54,'FAO crop mapping'!$A$22:$H$60,6,FALSE), "")</f>
        <v>#N/A</v>
      </c>
      <c r="I53" t="e">
        <f>IF(B54="yes",VLOOKUP(A54,'FAO crop mapping'!$A$22:$H$60,7,FALSE), "")</f>
        <v>#N/A</v>
      </c>
      <c r="J53" t="e">
        <f>IF(B54="yes",VLOOKUP(A54,'FAO crop mapping'!$A$22:$H$60,8,FALSE), "")</f>
        <v>#N/A</v>
      </c>
    </row>
    <row r="54" spans="1:10" x14ac:dyDescent="0.25">
      <c r="A54" t="s">
        <v>127</v>
      </c>
      <c r="B54" t="s">
        <v>79</v>
      </c>
      <c r="C54" t="s">
        <v>80</v>
      </c>
      <c r="D54" t="e">
        <f>IF(B54="yes",VLOOKUP(A54,'FAO crop mapping'!$A$22:$H$60,2,FALSE), "")</f>
        <v>#N/A</v>
      </c>
      <c r="E54" t="e">
        <f>IF(B54="yes",VLOOKUP(A54,'FAO crop mapping'!$A$22:$H$60,3,FALSE), "")</f>
        <v>#N/A</v>
      </c>
      <c r="F54" t="e">
        <f>IF(B54="yes",VLOOKUP(A54,'FAO crop mapping'!$A$22:$H$60,4,FALSE), "")</f>
        <v>#N/A</v>
      </c>
      <c r="G54" t="e">
        <f>IF(B54="yes",VLOOKUP(A54,'FAO crop mapping'!$A$22:$H$60,5,FALSE), "")</f>
        <v>#N/A</v>
      </c>
      <c r="H54" t="e">
        <f>IF(B55="yes",VLOOKUP(A55,'FAO crop mapping'!$A$22:$H$60,6,FALSE), "")</f>
        <v>#N/A</v>
      </c>
      <c r="I54" t="e">
        <f>IF(B55="yes",VLOOKUP(A55,'FAO crop mapping'!$A$22:$H$60,7,FALSE), "")</f>
        <v>#N/A</v>
      </c>
      <c r="J54" t="e">
        <f>IF(B55="yes",VLOOKUP(A55,'FAO crop mapping'!$A$22:$H$60,8,FALSE), "")</f>
        <v>#N/A</v>
      </c>
    </row>
    <row r="55" spans="1:10" x14ac:dyDescent="0.25">
      <c r="A55" t="s">
        <v>128</v>
      </c>
      <c r="B55" t="s">
        <v>79</v>
      </c>
      <c r="C55" t="s">
        <v>79</v>
      </c>
      <c r="D55" t="e">
        <f>IF(B55="yes",VLOOKUP(A55,'FAO crop mapping'!$A$22:$H$60,2,FALSE), "")</f>
        <v>#N/A</v>
      </c>
      <c r="E55" t="e">
        <f>IF(B55="yes",VLOOKUP(A55,'FAO crop mapping'!$A$22:$H$60,3,FALSE), "")</f>
        <v>#N/A</v>
      </c>
      <c r="F55" t="e">
        <f>IF(B55="yes",VLOOKUP(A55,'FAO crop mapping'!$A$22:$H$60,4,FALSE), "")</f>
        <v>#N/A</v>
      </c>
      <c r="G55" t="e">
        <f>IF(B55="yes",VLOOKUP(A55,'FAO crop mapping'!$A$22:$H$60,5,FALSE), "")</f>
        <v>#N/A</v>
      </c>
      <c r="H55" t="str">
        <f>IF(B56="yes",VLOOKUP(A56,'FAO crop mapping'!$A$22:$H$60,6,FALSE), "")</f>
        <v/>
      </c>
      <c r="I55" t="str">
        <f>IF(B56="yes",VLOOKUP(A56,'FAO crop mapping'!$A$22:$H$60,7,FALSE), "")</f>
        <v/>
      </c>
      <c r="J55" t="str">
        <f>IF(B56="yes",VLOOKUP(A56,'FAO crop mapping'!$A$22:$H$60,8,FALSE), "")</f>
        <v/>
      </c>
    </row>
    <row r="56" spans="1:10" x14ac:dyDescent="0.25">
      <c r="A56" t="s">
        <v>129</v>
      </c>
      <c r="B56" t="s">
        <v>80</v>
      </c>
      <c r="C56" t="s">
        <v>80</v>
      </c>
      <c r="D56" t="str">
        <f>IF(B56="yes",VLOOKUP(A56,'FAO crop mapping'!$A$22:$H$60,2,FALSE), "")</f>
        <v/>
      </c>
      <c r="E56" t="str">
        <f>IF(B56="yes",VLOOKUP(A56,'FAO crop mapping'!$A$22:$H$60,3,FALSE), "")</f>
        <v/>
      </c>
      <c r="F56" t="str">
        <f>IF(B56="yes",VLOOKUP(A56,'FAO crop mapping'!$A$22:$H$60,4,FALSE), "")</f>
        <v/>
      </c>
      <c r="G56" t="str">
        <f>IF(B56="yes",VLOOKUP(A56,'FAO crop mapping'!$A$22:$H$60,5,FALSE), "")</f>
        <v/>
      </c>
      <c r="H56" t="e">
        <f>IF(B57="yes",VLOOKUP(A57,'FAO crop mapping'!$A$22:$H$60,6,FALSE), "")</f>
        <v>#N/A</v>
      </c>
      <c r="I56" t="e">
        <f>IF(B57="yes",VLOOKUP(A57,'FAO crop mapping'!$A$22:$H$60,7,FALSE), "")</f>
        <v>#N/A</v>
      </c>
      <c r="J56" t="e">
        <f>IF(B57="yes",VLOOKUP(A57,'FAO crop mapping'!$A$22:$H$60,8,FALSE), "")</f>
        <v>#N/A</v>
      </c>
    </row>
    <row r="57" spans="1:10" x14ac:dyDescent="0.25">
      <c r="A57" t="s">
        <v>130</v>
      </c>
      <c r="B57" t="s">
        <v>79</v>
      </c>
      <c r="C57" t="s">
        <v>80</v>
      </c>
      <c r="D57" t="e">
        <f>IF(B57="yes",VLOOKUP(A57,'FAO crop mapping'!$A$22:$H$60,2,FALSE), "")</f>
        <v>#N/A</v>
      </c>
      <c r="E57" t="e">
        <f>IF(B57="yes",VLOOKUP(A57,'FAO crop mapping'!$A$22:$H$60,3,FALSE), "")</f>
        <v>#N/A</v>
      </c>
      <c r="F57" t="e">
        <f>IF(B57="yes",VLOOKUP(A57,'FAO crop mapping'!$A$22:$H$60,4,FALSE), "")</f>
        <v>#N/A</v>
      </c>
      <c r="G57" t="e">
        <f>IF(B57="yes",VLOOKUP(A57,'FAO crop mapping'!$A$22:$H$60,5,FALSE), "")</f>
        <v>#N/A</v>
      </c>
      <c r="H57" t="str">
        <f>IF(B58="yes",VLOOKUP(A58,'FAO crop mapping'!$A$22:$H$60,6,FALSE), "")</f>
        <v/>
      </c>
      <c r="I57" t="str">
        <f>IF(B58="yes",VLOOKUP(A58,'FAO crop mapping'!$A$22:$H$60,7,FALSE), "")</f>
        <v/>
      </c>
      <c r="J57" t="str">
        <f>IF(B58="yes",VLOOKUP(A58,'FAO crop mapping'!$A$22:$H$60,8,FALSE), "")</f>
        <v/>
      </c>
    </row>
    <row r="58" spans="1:10" x14ac:dyDescent="0.25">
      <c r="A58" t="s">
        <v>131</v>
      </c>
      <c r="B58" t="s">
        <v>80</v>
      </c>
      <c r="C58" t="s">
        <v>80</v>
      </c>
      <c r="D58" t="str">
        <f>IF(B58="yes",VLOOKUP(A58,'FAO crop mapping'!$A$22:$H$60,2,FALSE), "")</f>
        <v/>
      </c>
      <c r="E58" t="str">
        <f>IF(B58="yes",VLOOKUP(A58,'FAO crop mapping'!$A$22:$H$60,3,FALSE), "")</f>
        <v/>
      </c>
      <c r="F58" t="str">
        <f>IF(B58="yes",VLOOKUP(A58,'FAO crop mapping'!$A$22:$H$60,4,FALSE), "")</f>
        <v/>
      </c>
      <c r="G58" t="str">
        <f>IF(B58="yes",VLOOKUP(A58,'FAO crop mapping'!$A$22:$H$60,5,FALSE), "")</f>
        <v/>
      </c>
      <c r="H58" t="e">
        <f>IF(B59="yes",VLOOKUP(A59,'FAO crop mapping'!$A$22:$H$60,6,FALSE), "")</f>
        <v>#N/A</v>
      </c>
      <c r="I58" t="e">
        <f>IF(B59="yes",VLOOKUP(A59,'FAO crop mapping'!$A$22:$H$60,7,FALSE), "")</f>
        <v>#N/A</v>
      </c>
      <c r="J58" t="e">
        <f>IF(B59="yes",VLOOKUP(A59,'FAO crop mapping'!$A$22:$H$60,8,FALSE), "")</f>
        <v>#N/A</v>
      </c>
    </row>
    <row r="59" spans="1:10" x14ac:dyDescent="0.25">
      <c r="A59" t="s">
        <v>132</v>
      </c>
      <c r="B59" t="s">
        <v>79</v>
      </c>
      <c r="C59" t="s">
        <v>79</v>
      </c>
      <c r="D59" t="e">
        <f>IF(B59="yes",VLOOKUP(A59,'FAO crop mapping'!$A$22:$H$60,2,FALSE), "")</f>
        <v>#N/A</v>
      </c>
      <c r="E59" t="e">
        <f>IF(B59="yes",VLOOKUP(A59,'FAO crop mapping'!$A$22:$H$60,3,FALSE), "")</f>
        <v>#N/A</v>
      </c>
      <c r="F59" t="e">
        <f>IF(B59="yes",VLOOKUP(A59,'FAO crop mapping'!$A$22:$H$60,4,FALSE), "")</f>
        <v>#N/A</v>
      </c>
      <c r="G59" t="e">
        <f>IF(B59="yes",VLOOKUP(A59,'FAO crop mapping'!$A$22:$H$60,5,FALSE), "")</f>
        <v>#N/A</v>
      </c>
      <c r="H59" t="str">
        <f>IF(B60="yes",VLOOKUP(A60,'FAO crop mapping'!$A$22:$H$60,6,FALSE), "")</f>
        <v/>
      </c>
      <c r="I59" t="str">
        <f>IF(B60="yes",VLOOKUP(A60,'FAO crop mapping'!$A$22:$H$60,7,FALSE), "")</f>
        <v/>
      </c>
      <c r="J59" t="str">
        <f>IF(B60="yes",VLOOKUP(A60,'FAO crop mapping'!$A$22:$H$60,8,FALSE), "")</f>
        <v/>
      </c>
    </row>
    <row r="60" spans="1:10" x14ac:dyDescent="0.25">
      <c r="A60" t="s">
        <v>133</v>
      </c>
      <c r="B60" t="s">
        <v>80</v>
      </c>
      <c r="C60" t="s">
        <v>80</v>
      </c>
      <c r="D60" t="str">
        <f>IF(B60="yes",VLOOKUP(A60,'FAO crop mapping'!$A$22:$H$60,2,FALSE), "")</f>
        <v/>
      </c>
      <c r="E60" t="str">
        <f>IF(B60="yes",VLOOKUP(A60,'FAO crop mapping'!$A$22:$H$60,3,FALSE), "")</f>
        <v/>
      </c>
      <c r="F60" t="str">
        <f>IF(B60="yes",VLOOKUP(A60,'FAO crop mapping'!$A$22:$H$60,4,FALSE), "")</f>
        <v/>
      </c>
      <c r="G60" t="str">
        <f>IF(B60="yes",VLOOKUP(A60,'FAO crop mapping'!$A$22:$H$60,5,FALSE), "")</f>
        <v/>
      </c>
      <c r="H60" t="str">
        <f>IF(B61="yes",VLOOKUP(A61,'FAO crop mapping'!$A$22:$H$60,6,FALSE), "")</f>
        <v/>
      </c>
      <c r="I60" t="str">
        <f>IF(B61="yes",VLOOKUP(A61,'FAO crop mapping'!$A$22:$H$60,7,FALSE), "")</f>
        <v/>
      </c>
      <c r="J60" t="str">
        <f>IF(B61="yes",VLOOKUP(A61,'FAO crop mapping'!$A$22:$H$60,8,FALSE), "")</f>
        <v/>
      </c>
    </row>
    <row r="61" spans="1:10" x14ac:dyDescent="0.25">
      <c r="A61" t="s">
        <v>134</v>
      </c>
      <c r="B61" t="s">
        <v>80</v>
      </c>
      <c r="C61" t="s">
        <v>80</v>
      </c>
      <c r="D61" t="str">
        <f>IF(B61="yes",VLOOKUP(A61,'FAO crop mapping'!$A$22:$H$60,2,FALSE), "")</f>
        <v/>
      </c>
      <c r="E61" t="str">
        <f>IF(B61="yes",VLOOKUP(A61,'FAO crop mapping'!$A$22:$H$60,3,FALSE), "")</f>
        <v/>
      </c>
      <c r="F61" t="str">
        <f>IF(B61="yes",VLOOKUP(A61,'FAO crop mapping'!$A$22:$H$60,4,FALSE), "")</f>
        <v/>
      </c>
      <c r="G61" t="str">
        <f>IF(B61="yes",VLOOKUP(A61,'FAO crop mapping'!$A$22:$H$60,5,FALSE), "")</f>
        <v/>
      </c>
      <c r="H61" t="e">
        <f>IF(B62="yes",VLOOKUP(A62,'FAO crop mapping'!$A$22:$H$60,6,FALSE), "")</f>
        <v>#N/A</v>
      </c>
      <c r="I61" t="e">
        <f>IF(B62="yes",VLOOKUP(A62,'FAO crop mapping'!$A$22:$H$60,7,FALSE), "")</f>
        <v>#N/A</v>
      </c>
      <c r="J61" t="e">
        <f>IF(B62="yes",VLOOKUP(A62,'FAO crop mapping'!$A$22:$H$60,8,FALSE), "")</f>
        <v>#N/A</v>
      </c>
    </row>
    <row r="62" spans="1:10" x14ac:dyDescent="0.25">
      <c r="A62" t="s">
        <v>135</v>
      </c>
      <c r="B62" t="s">
        <v>79</v>
      </c>
      <c r="C62" t="s">
        <v>79</v>
      </c>
      <c r="D62" t="e">
        <f>IF(B62="yes",VLOOKUP(A62,'FAO crop mapping'!$A$22:$H$60,2,FALSE), "")</f>
        <v>#N/A</v>
      </c>
      <c r="E62" t="e">
        <f>IF(B62="yes",VLOOKUP(A62,'FAO crop mapping'!$A$22:$H$60,3,FALSE), "")</f>
        <v>#N/A</v>
      </c>
      <c r="F62" t="e">
        <f>IF(B62="yes",VLOOKUP(A62,'FAO crop mapping'!$A$22:$H$60,4,FALSE), "")</f>
        <v>#N/A</v>
      </c>
      <c r="G62" t="e">
        <f>IF(B62="yes",VLOOKUP(A62,'FAO crop mapping'!$A$22:$H$60,5,FALSE), "")</f>
        <v>#N/A</v>
      </c>
      <c r="H62" t="str">
        <f>IF(B63="yes",VLOOKUP(A63,'FAO crop mapping'!$A$22:$H$60,6,FALSE), "")</f>
        <v/>
      </c>
      <c r="I62" t="str">
        <f>IF(B63="yes",VLOOKUP(A63,'FAO crop mapping'!$A$22:$H$60,7,FALSE), "")</f>
        <v/>
      </c>
      <c r="J62" t="str">
        <f>IF(B63="yes",VLOOKUP(A63,'FAO crop mapping'!$A$22:$H$60,8,FALSE), "")</f>
        <v/>
      </c>
    </row>
    <row r="63" spans="1:10" x14ac:dyDescent="0.25">
      <c r="A63" t="s">
        <v>136</v>
      </c>
      <c r="B63" t="s">
        <v>80</v>
      </c>
      <c r="C63" t="s">
        <v>80</v>
      </c>
      <c r="D63" t="str">
        <f>IF(B63="yes",VLOOKUP(A63,'FAO crop mapping'!$A$22:$H$60,2,FALSE), "")</f>
        <v/>
      </c>
      <c r="E63" t="str">
        <f>IF(B63="yes",VLOOKUP(A63,'FAO crop mapping'!$A$22:$H$60,3,FALSE), "")</f>
        <v/>
      </c>
      <c r="F63" t="str">
        <f>IF(B63="yes",VLOOKUP(A63,'FAO crop mapping'!$A$22:$H$60,4,FALSE), "")</f>
        <v/>
      </c>
      <c r="G63" t="str">
        <f>IF(B63="yes",VLOOKUP(A63,'FAO crop mapping'!$A$22:$H$60,5,FALSE), "")</f>
        <v/>
      </c>
      <c r="H63" t="e">
        <f>IF(B64="yes",VLOOKUP(A64,'FAO crop mapping'!$A$22:$H$60,6,FALSE), "")</f>
        <v>#N/A</v>
      </c>
      <c r="I63" t="e">
        <f>IF(B64="yes",VLOOKUP(A64,'FAO crop mapping'!$A$22:$H$60,7,FALSE), "")</f>
        <v>#N/A</v>
      </c>
      <c r="J63" t="e">
        <f>IF(B64="yes",VLOOKUP(A64,'FAO crop mapping'!$A$22:$H$60,8,FALSE), "")</f>
        <v>#N/A</v>
      </c>
    </row>
    <row r="64" spans="1:10" x14ac:dyDescent="0.25">
      <c r="A64" t="s">
        <v>137</v>
      </c>
      <c r="B64" t="s">
        <v>79</v>
      </c>
      <c r="C64" t="s">
        <v>80</v>
      </c>
      <c r="D64" t="e">
        <f>IF(B64="yes",VLOOKUP(A64,'FAO crop mapping'!$A$22:$H$60,2,FALSE), "")</f>
        <v>#N/A</v>
      </c>
      <c r="E64" t="e">
        <f>IF(B64="yes",VLOOKUP(A64,'FAO crop mapping'!$A$22:$H$60,3,FALSE), "")</f>
        <v>#N/A</v>
      </c>
      <c r="F64" t="e">
        <f>IF(B64="yes",VLOOKUP(A64,'FAO crop mapping'!$A$22:$H$60,4,FALSE), "")</f>
        <v>#N/A</v>
      </c>
      <c r="G64" t="e">
        <f>IF(B64="yes",VLOOKUP(A64,'FAO crop mapping'!$A$22:$H$60,5,FALSE), "")</f>
        <v>#N/A</v>
      </c>
      <c r="H64" t="e">
        <f>IF(B65="yes",VLOOKUP(A65,'FAO crop mapping'!$A$22:$H$60,6,FALSE), "")</f>
        <v>#N/A</v>
      </c>
      <c r="I64" t="e">
        <f>IF(B65="yes",VLOOKUP(A65,'FAO crop mapping'!$A$22:$H$60,7,FALSE), "")</f>
        <v>#N/A</v>
      </c>
      <c r="J64" t="e">
        <f>IF(B65="yes",VLOOKUP(A65,'FAO crop mapping'!$A$22:$H$60,8,FALSE), "")</f>
        <v>#N/A</v>
      </c>
    </row>
    <row r="65" spans="1:10" x14ac:dyDescent="0.25">
      <c r="A65" t="s">
        <v>138</v>
      </c>
      <c r="B65" t="s">
        <v>79</v>
      </c>
      <c r="C65" t="s">
        <v>79</v>
      </c>
      <c r="D65" t="e">
        <f>IF(B65="yes",VLOOKUP(A65,'FAO crop mapping'!$A$22:$H$60,2,FALSE), "")</f>
        <v>#N/A</v>
      </c>
      <c r="E65" t="e">
        <f>IF(B65="yes",VLOOKUP(A65,'FAO crop mapping'!$A$22:$H$60,3,FALSE), "")</f>
        <v>#N/A</v>
      </c>
      <c r="F65" t="e">
        <f>IF(B65="yes",VLOOKUP(A65,'FAO crop mapping'!$A$22:$H$60,4,FALSE), "")</f>
        <v>#N/A</v>
      </c>
      <c r="G65" t="e">
        <f>IF(B65="yes",VLOOKUP(A65,'FAO crop mapping'!$A$22:$H$60,5,FALSE), "")</f>
        <v>#N/A</v>
      </c>
      <c r="H65" t="e">
        <f>IF(B66="yes",VLOOKUP(A66,'FAO crop mapping'!$A$22:$H$60,6,FALSE), "")</f>
        <v>#N/A</v>
      </c>
      <c r="I65" t="e">
        <f>IF(B66="yes",VLOOKUP(A66,'FAO crop mapping'!$A$22:$H$60,7,FALSE), "")</f>
        <v>#N/A</v>
      </c>
      <c r="J65" t="e">
        <f>IF(B66="yes",VLOOKUP(A66,'FAO crop mapping'!$A$22:$H$60,8,FALSE), "")</f>
        <v>#N/A</v>
      </c>
    </row>
    <row r="66" spans="1:10" x14ac:dyDescent="0.25">
      <c r="A66" t="s">
        <v>139</v>
      </c>
      <c r="B66" t="s">
        <v>79</v>
      </c>
      <c r="C66" t="s">
        <v>80</v>
      </c>
      <c r="D66" t="e">
        <f>IF(B66="yes",VLOOKUP(A66,'FAO crop mapping'!$A$22:$H$60,2,FALSE), "")</f>
        <v>#N/A</v>
      </c>
      <c r="E66" t="e">
        <f>IF(B66="yes",VLOOKUP(A66,'FAO crop mapping'!$A$22:$H$60,3,FALSE), "")</f>
        <v>#N/A</v>
      </c>
      <c r="F66" t="e">
        <f>IF(B66="yes",VLOOKUP(A66,'FAO crop mapping'!$A$22:$H$60,4,FALSE), "")</f>
        <v>#N/A</v>
      </c>
      <c r="G66" t="e">
        <f>IF(B66="yes",VLOOKUP(A66,'FAO crop mapping'!$A$22:$H$60,5,FALSE), "")</f>
        <v>#N/A</v>
      </c>
      <c r="H66" t="e">
        <f>IF(B67="yes",VLOOKUP(A67,'FAO crop mapping'!$A$22:$H$60,6,FALSE), "")</f>
        <v>#N/A</v>
      </c>
      <c r="I66" t="e">
        <f>IF(B67="yes",VLOOKUP(A67,'FAO crop mapping'!$A$22:$H$60,7,FALSE), "")</f>
        <v>#N/A</v>
      </c>
      <c r="J66" t="e">
        <f>IF(B67="yes",VLOOKUP(A67,'FAO crop mapping'!$A$22:$H$60,8,FALSE), "")</f>
        <v>#N/A</v>
      </c>
    </row>
    <row r="67" spans="1:10" x14ac:dyDescent="0.25">
      <c r="A67" t="s">
        <v>140</v>
      </c>
      <c r="B67" t="s">
        <v>79</v>
      </c>
      <c r="C67" t="s">
        <v>80</v>
      </c>
      <c r="D67" t="e">
        <f>IF(B67="yes",VLOOKUP(A67,'FAO crop mapping'!$A$22:$H$60,2,FALSE), "")</f>
        <v>#N/A</v>
      </c>
      <c r="E67" t="e">
        <f>IF(B67="yes",VLOOKUP(A67,'FAO crop mapping'!$A$22:$H$60,3,FALSE), "")</f>
        <v>#N/A</v>
      </c>
      <c r="F67" t="e">
        <f>IF(B67="yes",VLOOKUP(A67,'FAO crop mapping'!$A$22:$H$60,4,FALSE), "")</f>
        <v>#N/A</v>
      </c>
      <c r="G67" t="e">
        <f>IF(B67="yes",VLOOKUP(A67,'FAO crop mapping'!$A$22:$H$60,5,FALSE), "")</f>
        <v>#N/A</v>
      </c>
      <c r="H67" t="e">
        <f>IF(B68="yes",VLOOKUP(A68,'FAO crop mapping'!$A$22:$H$60,6,FALSE), "")</f>
        <v>#N/A</v>
      </c>
      <c r="I67" t="e">
        <f>IF(B68="yes",VLOOKUP(A68,'FAO crop mapping'!$A$22:$H$60,7,FALSE), "")</f>
        <v>#N/A</v>
      </c>
      <c r="J67" t="e">
        <f>IF(B68="yes",VLOOKUP(A68,'FAO crop mapping'!$A$22:$H$60,8,FALSE), "")</f>
        <v>#N/A</v>
      </c>
    </row>
    <row r="68" spans="1:10" x14ac:dyDescent="0.25">
      <c r="A68" t="s">
        <v>141</v>
      </c>
      <c r="B68" t="s">
        <v>79</v>
      </c>
      <c r="C68" t="s">
        <v>79</v>
      </c>
      <c r="D68" t="e">
        <f>IF(B68="yes",VLOOKUP(A68,'FAO crop mapping'!$A$22:$H$60,2,FALSE), "")</f>
        <v>#N/A</v>
      </c>
      <c r="E68" t="e">
        <f>IF(B68="yes",VLOOKUP(A68,'FAO crop mapping'!$A$22:$H$60,3,FALSE), "")</f>
        <v>#N/A</v>
      </c>
      <c r="F68" t="e">
        <f>IF(B68="yes",VLOOKUP(A68,'FAO crop mapping'!$A$22:$H$60,4,FALSE), "")</f>
        <v>#N/A</v>
      </c>
      <c r="G68" t="e">
        <f>IF(B68="yes",VLOOKUP(A68,'FAO crop mapping'!$A$22:$H$60,5,FALSE), "")</f>
        <v>#N/A</v>
      </c>
      <c r="H68" t="str">
        <f>IF(B69="yes",VLOOKUP(A69,'FAO crop mapping'!$A$22:$H$60,6,FALSE), "")</f>
        <v/>
      </c>
      <c r="I68" t="str">
        <f>IF(B69="yes",VLOOKUP(A69,'FAO crop mapping'!$A$22:$H$60,7,FALSE), "")</f>
        <v/>
      </c>
      <c r="J68" t="str">
        <f>IF(B69="yes",VLOOKUP(A69,'FAO crop mapping'!$A$22:$H$60,8,FALSE), "")</f>
        <v/>
      </c>
    </row>
    <row r="69" spans="1:10" x14ac:dyDescent="0.25">
      <c r="A69" t="s">
        <v>142</v>
      </c>
      <c r="B69" t="s">
        <v>80</v>
      </c>
      <c r="C69" t="s">
        <v>80</v>
      </c>
      <c r="D69" t="str">
        <f>IF(B69="yes",VLOOKUP(A69,'FAO crop mapping'!$A$22:$H$60,2,FALSE), "")</f>
        <v/>
      </c>
      <c r="E69" t="str">
        <f>IF(B69="yes",VLOOKUP(A69,'FAO crop mapping'!$A$22:$H$60,3,FALSE), "")</f>
        <v/>
      </c>
      <c r="F69" t="str">
        <f>IF(B69="yes",VLOOKUP(A69,'FAO crop mapping'!$A$22:$H$60,4,FALSE), "")</f>
        <v/>
      </c>
      <c r="G69" t="str">
        <f>IF(B69="yes",VLOOKUP(A69,'FAO crop mapping'!$A$22:$H$60,5,FALSE), "")</f>
        <v/>
      </c>
      <c r="H69">
        <f>IF(B70="yes",VLOOKUP(A70,'FAO crop mapping'!$A$22:$H$60,6,FALSE), "")</f>
        <v>2.1</v>
      </c>
      <c r="I69">
        <f>IF(B70="yes",VLOOKUP(A70,'FAO crop mapping'!$A$22:$H$60,7,FALSE), "")</f>
        <v>0.19</v>
      </c>
      <c r="J69">
        <f>IF(B70="yes",VLOOKUP(A70,'FAO crop mapping'!$A$22:$H$60,8,FALSE), "")</f>
        <v>8.0000000000000002E-3</v>
      </c>
    </row>
    <row r="70" spans="1:10" x14ac:dyDescent="0.25">
      <c r="A70" t="s">
        <v>47</v>
      </c>
      <c r="B70" t="s">
        <v>79</v>
      </c>
      <c r="C70" t="s">
        <v>79</v>
      </c>
      <c r="D70">
        <f>IF(B70="yes",VLOOKUP(A70,'FAO crop mapping'!$A$22:$H$60,2,FALSE), "")</f>
        <v>1</v>
      </c>
      <c r="E70">
        <f>IF(B70="yes",VLOOKUP(A70,'FAO crop mapping'!$A$22:$H$60,3,FALSE), "")</f>
        <v>1.1299999999999999</v>
      </c>
      <c r="F70">
        <f>IF(B70="yes",VLOOKUP(A70,'FAO crop mapping'!$A$22:$H$60,4,FALSE), "")</f>
        <v>0.85</v>
      </c>
      <c r="G70">
        <f>IF(B70="yes",VLOOKUP(A70,'FAO crop mapping'!$A$22:$H$60,5,FALSE), "")</f>
        <v>8.0000000000000002E-3</v>
      </c>
      <c r="H70" t="e">
        <f>IF(B71="yes",VLOOKUP(A71,'FAO crop mapping'!$A$22:$H$60,6,FALSE), "")</f>
        <v>#N/A</v>
      </c>
      <c r="I70" t="e">
        <f>IF(B71="yes",VLOOKUP(A71,'FAO crop mapping'!$A$22:$H$60,7,FALSE), "")</f>
        <v>#N/A</v>
      </c>
      <c r="J70" t="e">
        <f>IF(B71="yes",VLOOKUP(A71,'FAO crop mapping'!$A$22:$H$60,8,FALSE), "")</f>
        <v>#N/A</v>
      </c>
    </row>
    <row r="71" spans="1:10" x14ac:dyDescent="0.25">
      <c r="A71" t="s">
        <v>143</v>
      </c>
      <c r="B71" t="s">
        <v>79</v>
      </c>
      <c r="C71" t="s">
        <v>80</v>
      </c>
      <c r="D71" t="e">
        <f>IF(B71="yes",VLOOKUP(A71,'FAO crop mapping'!$A$22:$H$60,2,FALSE), "")</f>
        <v>#N/A</v>
      </c>
      <c r="E71" t="e">
        <f>IF(B71="yes",VLOOKUP(A71,'FAO crop mapping'!$A$22:$H$60,3,FALSE), "")</f>
        <v>#N/A</v>
      </c>
      <c r="F71" t="e">
        <f>IF(B71="yes",VLOOKUP(A71,'FAO crop mapping'!$A$22:$H$60,4,FALSE), "")</f>
        <v>#N/A</v>
      </c>
      <c r="G71" t="e">
        <f>IF(B71="yes",VLOOKUP(A71,'FAO crop mapping'!$A$22:$H$60,5,FALSE), "")</f>
        <v>#N/A</v>
      </c>
      <c r="H71" t="str">
        <f>IF(B72="yes",VLOOKUP(A72,'FAO crop mapping'!$A$22:$H$60,6,FALSE), "")</f>
        <v/>
      </c>
      <c r="I71" t="str">
        <f>IF(B72="yes",VLOOKUP(A72,'FAO crop mapping'!$A$22:$H$60,7,FALSE), "")</f>
        <v/>
      </c>
      <c r="J71" t="str">
        <f>IF(B72="yes",VLOOKUP(A72,'FAO crop mapping'!$A$22:$H$60,8,FALSE), "")</f>
        <v/>
      </c>
    </row>
    <row r="72" spans="1:10" x14ac:dyDescent="0.25">
      <c r="A72" t="s">
        <v>144</v>
      </c>
      <c r="B72" t="s">
        <v>80</v>
      </c>
      <c r="C72" t="s">
        <v>80</v>
      </c>
      <c r="D72" t="str">
        <f>IF(B72="yes",VLOOKUP(A72,'FAO crop mapping'!$A$22:$H$60,2,FALSE), "")</f>
        <v/>
      </c>
      <c r="E72" t="str">
        <f>IF(B72="yes",VLOOKUP(A72,'FAO crop mapping'!$A$22:$H$60,3,FALSE), "")</f>
        <v/>
      </c>
      <c r="F72" t="str">
        <f>IF(B72="yes",VLOOKUP(A72,'FAO crop mapping'!$A$22:$H$60,4,FALSE), "")</f>
        <v/>
      </c>
      <c r="G72" t="str">
        <f>IF(B72="yes",VLOOKUP(A72,'FAO crop mapping'!$A$22:$H$60,5,FALSE), "")</f>
        <v/>
      </c>
      <c r="H72" t="e">
        <f>IF(B73="yes",VLOOKUP(A73,'FAO crop mapping'!$A$22:$H$60,6,FALSE), "")</f>
        <v>#N/A</v>
      </c>
      <c r="I72" t="e">
        <f>IF(B73="yes",VLOOKUP(A73,'FAO crop mapping'!$A$22:$H$60,7,FALSE), "")</f>
        <v>#N/A</v>
      </c>
      <c r="J72" t="e">
        <f>IF(B73="yes",VLOOKUP(A73,'FAO crop mapping'!$A$22:$H$60,8,FALSE), "")</f>
        <v>#N/A</v>
      </c>
    </row>
    <row r="73" spans="1:10" x14ac:dyDescent="0.25">
      <c r="A73" t="s">
        <v>145</v>
      </c>
      <c r="B73" t="s">
        <v>79</v>
      </c>
      <c r="C73" t="s">
        <v>79</v>
      </c>
      <c r="D73" t="e">
        <f>IF(B73="yes",VLOOKUP(A73,'FAO crop mapping'!$A$22:$H$60,2,FALSE), "")</f>
        <v>#N/A</v>
      </c>
      <c r="E73" t="e">
        <f>IF(B73="yes",VLOOKUP(A73,'FAO crop mapping'!$A$22:$H$60,3,FALSE), "")</f>
        <v>#N/A</v>
      </c>
      <c r="F73" t="e">
        <f>IF(B73="yes",VLOOKUP(A73,'FAO crop mapping'!$A$22:$H$60,4,FALSE), "")</f>
        <v>#N/A</v>
      </c>
      <c r="G73" t="e">
        <f>IF(B73="yes",VLOOKUP(A73,'FAO crop mapping'!$A$22:$H$60,5,FALSE), "")</f>
        <v>#N/A</v>
      </c>
      <c r="H73" t="e">
        <f>IF(B74="yes",VLOOKUP(A74,'FAO crop mapping'!$A$22:$H$60,6,FALSE), "")</f>
        <v>#N/A</v>
      </c>
      <c r="I73" t="e">
        <f>IF(B74="yes",VLOOKUP(A74,'FAO crop mapping'!$A$22:$H$60,7,FALSE), "")</f>
        <v>#N/A</v>
      </c>
      <c r="J73" t="e">
        <f>IF(B74="yes",VLOOKUP(A74,'FAO crop mapping'!$A$22:$H$60,8,FALSE), "")</f>
        <v>#N/A</v>
      </c>
    </row>
    <row r="74" spans="1:10" x14ac:dyDescent="0.25">
      <c r="A74" t="s">
        <v>146</v>
      </c>
      <c r="B74" t="s">
        <v>79</v>
      </c>
      <c r="C74" t="s">
        <v>80</v>
      </c>
      <c r="D74" t="e">
        <f>IF(B74="yes",VLOOKUP(A74,'FAO crop mapping'!$A$22:$H$60,2,FALSE), "")</f>
        <v>#N/A</v>
      </c>
      <c r="E74" t="e">
        <f>IF(B74="yes",VLOOKUP(A74,'FAO crop mapping'!$A$22:$H$60,3,FALSE), "")</f>
        <v>#N/A</v>
      </c>
      <c r="F74" t="e">
        <f>IF(B74="yes",VLOOKUP(A74,'FAO crop mapping'!$A$22:$H$60,4,FALSE), "")</f>
        <v>#N/A</v>
      </c>
      <c r="G74" t="e">
        <f>IF(B74="yes",VLOOKUP(A74,'FAO crop mapping'!$A$22:$H$60,5,FALSE), "")</f>
        <v>#N/A</v>
      </c>
      <c r="H74" t="e">
        <f>IF(B75="yes",VLOOKUP(A75,'FAO crop mapping'!$A$22:$H$60,6,FALSE), "")</f>
        <v>#N/A</v>
      </c>
      <c r="I74" t="e">
        <f>IF(B75="yes",VLOOKUP(A75,'FAO crop mapping'!$A$22:$H$60,7,FALSE), "")</f>
        <v>#N/A</v>
      </c>
      <c r="J74" t="e">
        <f>IF(B75="yes",VLOOKUP(A75,'FAO crop mapping'!$A$22:$H$60,8,FALSE), "")</f>
        <v>#N/A</v>
      </c>
    </row>
    <row r="75" spans="1:10" x14ac:dyDescent="0.25">
      <c r="A75" t="s">
        <v>147</v>
      </c>
      <c r="B75" t="s">
        <v>79</v>
      </c>
      <c r="C75" t="s">
        <v>80</v>
      </c>
      <c r="D75" t="e">
        <f>IF(B75="yes",VLOOKUP(A75,'FAO crop mapping'!$A$22:$H$60,2,FALSE), "")</f>
        <v>#N/A</v>
      </c>
      <c r="E75" t="e">
        <f>IF(B75="yes",VLOOKUP(A75,'FAO crop mapping'!$A$22:$H$60,3,FALSE), "")</f>
        <v>#N/A</v>
      </c>
      <c r="F75" t="e">
        <f>IF(B75="yes",VLOOKUP(A75,'FAO crop mapping'!$A$22:$H$60,4,FALSE), "")</f>
        <v>#N/A</v>
      </c>
      <c r="G75" t="e">
        <f>IF(B75="yes",VLOOKUP(A75,'FAO crop mapping'!$A$22:$H$60,5,FALSE), "")</f>
        <v>#N/A</v>
      </c>
      <c r="H75" t="str">
        <f>IF(B76="yes",VLOOKUP(A76,'FAO crop mapping'!$A$22:$H$60,6,FALSE), "")</f>
        <v/>
      </c>
      <c r="I75" t="str">
        <f>IF(B76="yes",VLOOKUP(A76,'FAO crop mapping'!$A$22:$H$60,7,FALSE), "")</f>
        <v/>
      </c>
      <c r="J75" t="str">
        <f>IF(B76="yes",VLOOKUP(A76,'FAO crop mapping'!$A$22:$H$60,8,FALSE), "")</f>
        <v/>
      </c>
    </row>
    <row r="76" spans="1:10" x14ac:dyDescent="0.25">
      <c r="A76" t="s">
        <v>148</v>
      </c>
      <c r="B76" t="s">
        <v>80</v>
      </c>
      <c r="C76" t="s">
        <v>80</v>
      </c>
      <c r="D76" t="str">
        <f>IF(B76="yes",VLOOKUP(A76,'FAO crop mapping'!$A$22:$H$60,2,FALSE), "")</f>
        <v/>
      </c>
      <c r="E76" t="str">
        <f>IF(B76="yes",VLOOKUP(A76,'FAO crop mapping'!$A$22:$H$60,3,FALSE), "")</f>
        <v/>
      </c>
      <c r="F76" t="str">
        <f>IF(B76="yes",VLOOKUP(A76,'FAO crop mapping'!$A$22:$H$60,4,FALSE), "")</f>
        <v/>
      </c>
      <c r="G76" t="str">
        <f>IF(B76="yes",VLOOKUP(A76,'FAO crop mapping'!$A$22:$H$60,5,FALSE), "")</f>
        <v/>
      </c>
      <c r="H76" t="str">
        <f>IF(B77="yes",VLOOKUP(A77,'FAO crop mapping'!$A$22:$H$60,6,FALSE), "")</f>
        <v/>
      </c>
      <c r="I76" t="str">
        <f>IF(B77="yes",VLOOKUP(A77,'FAO crop mapping'!$A$22:$H$60,7,FALSE), "")</f>
        <v/>
      </c>
      <c r="J76" t="str">
        <f>IF(B77="yes",VLOOKUP(A77,'FAO crop mapping'!$A$22:$H$60,8,FALSE), "")</f>
        <v/>
      </c>
    </row>
    <row r="77" spans="1:10" x14ac:dyDescent="0.25">
      <c r="A77" t="s">
        <v>149</v>
      </c>
      <c r="B77" t="s">
        <v>80</v>
      </c>
      <c r="C77" t="s">
        <v>80</v>
      </c>
      <c r="D77" t="str">
        <f>IF(B77="yes",VLOOKUP(A77,'FAO crop mapping'!$A$22:$H$60,2,FALSE), "")</f>
        <v/>
      </c>
      <c r="E77" t="str">
        <f>IF(B77="yes",VLOOKUP(A77,'FAO crop mapping'!$A$22:$H$60,3,FALSE), "")</f>
        <v/>
      </c>
      <c r="F77" t="str">
        <f>IF(B77="yes",VLOOKUP(A77,'FAO crop mapping'!$A$22:$H$60,4,FALSE), "")</f>
        <v/>
      </c>
      <c r="G77" t="str">
        <f>IF(B77="yes",VLOOKUP(A77,'FAO crop mapping'!$A$22:$H$60,5,FALSE), "")</f>
        <v/>
      </c>
      <c r="H77" t="str">
        <f>IF(B78="yes",VLOOKUP(A78,'FAO crop mapping'!$A$22:$H$60,6,FALSE), "")</f>
        <v/>
      </c>
      <c r="I77" t="str">
        <f>IF(B78="yes",VLOOKUP(A78,'FAO crop mapping'!$A$22:$H$60,7,FALSE), "")</f>
        <v/>
      </c>
      <c r="J77" t="str">
        <f>IF(B78="yes",VLOOKUP(A78,'FAO crop mapping'!$A$22:$H$60,8,FALSE), "")</f>
        <v/>
      </c>
    </row>
    <row r="78" spans="1:10" x14ac:dyDescent="0.25">
      <c r="A78" t="s">
        <v>150</v>
      </c>
      <c r="B78" t="s">
        <v>80</v>
      </c>
      <c r="C78" t="s">
        <v>80</v>
      </c>
      <c r="D78" t="str">
        <f>IF(B78="yes",VLOOKUP(A78,'FAO crop mapping'!$A$22:$H$60,2,FALSE), "")</f>
        <v/>
      </c>
      <c r="E78" t="str">
        <f>IF(B78="yes",VLOOKUP(A78,'FAO crop mapping'!$A$22:$H$60,3,FALSE), "")</f>
        <v/>
      </c>
      <c r="F78" t="str">
        <f>IF(B78="yes",VLOOKUP(A78,'FAO crop mapping'!$A$22:$H$60,4,FALSE), "")</f>
        <v/>
      </c>
      <c r="G78" t="str">
        <f>IF(B78="yes",VLOOKUP(A78,'FAO crop mapping'!$A$22:$H$60,5,FALSE), "")</f>
        <v/>
      </c>
      <c r="H78" t="str">
        <f>IF(B79="yes",VLOOKUP(A79,'FAO crop mapping'!$A$22:$H$60,6,FALSE), "")</f>
        <v/>
      </c>
      <c r="I78" t="str">
        <f>IF(B79="yes",VLOOKUP(A79,'FAO crop mapping'!$A$22:$H$60,7,FALSE), "")</f>
        <v/>
      </c>
      <c r="J78" t="str">
        <f>IF(B79="yes",VLOOKUP(A79,'FAO crop mapping'!$A$22:$H$60,8,FALSE), "")</f>
        <v/>
      </c>
    </row>
    <row r="79" spans="1:10" x14ac:dyDescent="0.25">
      <c r="A79" t="s">
        <v>151</v>
      </c>
      <c r="B79" t="s">
        <v>80</v>
      </c>
      <c r="C79" t="s">
        <v>80</v>
      </c>
      <c r="D79" t="str">
        <f>IF(B79="yes",VLOOKUP(A79,'FAO crop mapping'!$A$22:$H$60,2,FALSE), "")</f>
        <v/>
      </c>
      <c r="E79" t="str">
        <f>IF(B79="yes",VLOOKUP(A79,'FAO crop mapping'!$A$22:$H$60,3,FALSE), "")</f>
        <v/>
      </c>
      <c r="F79" t="str">
        <f>IF(B79="yes",VLOOKUP(A79,'FAO crop mapping'!$A$22:$H$60,4,FALSE), "")</f>
        <v/>
      </c>
      <c r="G79" t="str">
        <f>IF(B79="yes",VLOOKUP(A79,'FAO crop mapping'!$A$22:$H$60,5,FALSE), "")</f>
        <v/>
      </c>
      <c r="H79" t="str">
        <f>IF(B80="yes",VLOOKUP(A80,'FAO crop mapping'!$A$22:$H$60,6,FALSE), "")</f>
        <v/>
      </c>
      <c r="I79" t="str">
        <f>IF(B80="yes",VLOOKUP(A80,'FAO crop mapping'!$A$22:$H$60,7,FALSE), "")</f>
        <v/>
      </c>
      <c r="J79" t="str">
        <f>IF(B80="yes",VLOOKUP(A80,'FAO crop mapping'!$A$22:$H$60,8,FALSE), "")</f>
        <v/>
      </c>
    </row>
    <row r="80" spans="1:10" x14ac:dyDescent="0.25">
      <c r="A80" t="s">
        <v>152</v>
      </c>
      <c r="B80" t="s">
        <v>80</v>
      </c>
      <c r="C80" t="s">
        <v>80</v>
      </c>
      <c r="D80" t="str">
        <f>IF(B80="yes",VLOOKUP(A80,'FAO crop mapping'!$A$22:$H$60,2,FALSE), "")</f>
        <v/>
      </c>
      <c r="E80" t="str">
        <f>IF(B80="yes",VLOOKUP(A80,'FAO crop mapping'!$A$22:$H$60,3,FALSE), "")</f>
        <v/>
      </c>
      <c r="F80" t="str">
        <f>IF(B80="yes",VLOOKUP(A80,'FAO crop mapping'!$A$22:$H$60,4,FALSE), "")</f>
        <v/>
      </c>
      <c r="G80" t="str">
        <f>IF(B80="yes",VLOOKUP(A80,'FAO crop mapping'!$A$22:$H$60,5,FALSE), "")</f>
        <v/>
      </c>
      <c r="H80" t="str">
        <f>IF(B81="yes",VLOOKUP(A81,'FAO crop mapping'!$A$22:$H$60,6,FALSE), "")</f>
        <v/>
      </c>
      <c r="I80" t="str">
        <f>IF(B81="yes",VLOOKUP(A81,'FAO crop mapping'!$A$22:$H$60,7,FALSE), "")</f>
        <v/>
      </c>
      <c r="J80" t="str">
        <f>IF(B81="yes",VLOOKUP(A81,'FAO crop mapping'!$A$22:$H$60,8,FALSE), "")</f>
        <v/>
      </c>
    </row>
    <row r="81" spans="1:10" x14ac:dyDescent="0.25">
      <c r="A81" t="s">
        <v>153</v>
      </c>
      <c r="B81" t="s">
        <v>80</v>
      </c>
      <c r="C81" t="s">
        <v>80</v>
      </c>
      <c r="D81" t="str">
        <f>IF(B81="yes",VLOOKUP(A81,'FAO crop mapping'!$A$22:$H$60,2,FALSE), "")</f>
        <v/>
      </c>
      <c r="E81" t="str">
        <f>IF(B81="yes",VLOOKUP(A81,'FAO crop mapping'!$A$22:$H$60,3,FALSE), "")</f>
        <v/>
      </c>
      <c r="F81" t="str">
        <f>IF(B81="yes",VLOOKUP(A81,'FAO crop mapping'!$A$22:$H$60,4,FALSE), "")</f>
        <v/>
      </c>
      <c r="G81" t="str">
        <f>IF(B81="yes",VLOOKUP(A81,'FAO crop mapping'!$A$22:$H$60,5,FALSE), "")</f>
        <v/>
      </c>
      <c r="H81" t="str">
        <f>IF(B82="yes",VLOOKUP(A82,'FAO crop mapping'!$A$22:$H$60,6,FALSE), "")</f>
        <v/>
      </c>
      <c r="I81" t="str">
        <f>IF(B82="yes",VLOOKUP(A82,'FAO crop mapping'!$A$22:$H$60,7,FALSE), "")</f>
        <v/>
      </c>
      <c r="J81" t="str">
        <f>IF(B82="yes",VLOOKUP(A82,'FAO crop mapping'!$A$22:$H$60,8,FALSE), "")</f>
        <v/>
      </c>
    </row>
    <row r="82" spans="1:10" x14ac:dyDescent="0.25">
      <c r="A82" t="s">
        <v>154</v>
      </c>
      <c r="B82" t="s">
        <v>80</v>
      </c>
      <c r="C82" t="s">
        <v>80</v>
      </c>
      <c r="D82" t="str">
        <f>IF(B82="yes",VLOOKUP(A82,'FAO crop mapping'!$A$22:$H$60,2,FALSE), "")</f>
        <v/>
      </c>
      <c r="E82" t="str">
        <f>IF(B82="yes",VLOOKUP(A82,'FAO crop mapping'!$A$22:$H$60,3,FALSE), "")</f>
        <v/>
      </c>
      <c r="F82" t="str">
        <f>IF(B82="yes",VLOOKUP(A82,'FAO crop mapping'!$A$22:$H$60,4,FALSE), "")</f>
        <v/>
      </c>
      <c r="G82" t="str">
        <f>IF(B82="yes",VLOOKUP(A82,'FAO crop mapping'!$A$22:$H$60,5,FALSE), "")</f>
        <v/>
      </c>
      <c r="H82" t="str">
        <f>IF(B83="yes",VLOOKUP(A83,'FAO crop mapping'!$A$22:$H$60,6,FALSE), "")</f>
        <v/>
      </c>
      <c r="I82" t="str">
        <f>IF(B83="yes",VLOOKUP(A83,'FAO crop mapping'!$A$22:$H$60,7,FALSE), "")</f>
        <v/>
      </c>
      <c r="J82" t="str">
        <f>IF(B83="yes",VLOOKUP(A83,'FAO crop mapping'!$A$22:$H$60,8,FALSE), "")</f>
        <v/>
      </c>
    </row>
    <row r="83" spans="1:10" x14ac:dyDescent="0.25">
      <c r="A83" t="s">
        <v>155</v>
      </c>
      <c r="B83" t="s">
        <v>80</v>
      </c>
      <c r="C83" t="s">
        <v>80</v>
      </c>
      <c r="D83" t="str">
        <f>IF(B83="yes",VLOOKUP(A83,'FAO crop mapping'!$A$22:$H$60,2,FALSE), "")</f>
        <v/>
      </c>
      <c r="E83" t="str">
        <f>IF(B83="yes",VLOOKUP(A83,'FAO crop mapping'!$A$22:$H$60,3,FALSE), "")</f>
        <v/>
      </c>
      <c r="F83" t="str">
        <f>IF(B83="yes",VLOOKUP(A83,'FAO crop mapping'!$A$22:$H$60,4,FALSE), "")</f>
        <v/>
      </c>
      <c r="G83" t="str">
        <f>IF(B83="yes",VLOOKUP(A83,'FAO crop mapping'!$A$22:$H$60,5,FALSE), "")</f>
        <v/>
      </c>
      <c r="H83" t="str">
        <f>IF(B84="yes",VLOOKUP(A84,'FAO crop mapping'!$A$22:$H$60,6,FALSE), "")</f>
        <v/>
      </c>
      <c r="I83" t="str">
        <f>IF(B84="yes",VLOOKUP(A84,'FAO crop mapping'!$A$22:$H$60,7,FALSE), "")</f>
        <v/>
      </c>
      <c r="J83" t="str">
        <f>IF(B84="yes",VLOOKUP(A84,'FAO crop mapping'!$A$22:$H$60,8,FALSE), "")</f>
        <v/>
      </c>
    </row>
    <row r="84" spans="1:10" x14ac:dyDescent="0.25">
      <c r="A84" t="s">
        <v>156</v>
      </c>
      <c r="B84" t="s">
        <v>80</v>
      </c>
      <c r="C84" t="s">
        <v>80</v>
      </c>
      <c r="D84" t="str">
        <f>IF(B84="yes",VLOOKUP(A84,'FAO crop mapping'!$A$22:$H$60,2,FALSE), "")</f>
        <v/>
      </c>
      <c r="E84" t="str">
        <f>IF(B84="yes",VLOOKUP(A84,'FAO crop mapping'!$A$22:$H$60,3,FALSE), "")</f>
        <v/>
      </c>
      <c r="F84" t="str">
        <f>IF(B84="yes",VLOOKUP(A84,'FAO crop mapping'!$A$22:$H$60,4,FALSE), "")</f>
        <v/>
      </c>
      <c r="G84" t="str">
        <f>IF(B84="yes",VLOOKUP(A84,'FAO crop mapping'!$A$22:$H$60,5,FALSE), "")</f>
        <v/>
      </c>
      <c r="H84" t="e">
        <f>IF(B85="yes",VLOOKUP(A85,'FAO crop mapping'!$A$22:$H$60,6,FALSE), "")</f>
        <v>#N/A</v>
      </c>
      <c r="I84" t="e">
        <f>IF(B85="yes",VLOOKUP(A85,'FAO crop mapping'!$A$22:$H$60,7,FALSE), "")</f>
        <v>#N/A</v>
      </c>
      <c r="J84" t="e">
        <f>IF(B85="yes",VLOOKUP(A85,'FAO crop mapping'!$A$22:$H$60,8,FALSE), "")</f>
        <v>#N/A</v>
      </c>
    </row>
    <row r="85" spans="1:10" x14ac:dyDescent="0.25">
      <c r="A85" t="s">
        <v>157</v>
      </c>
      <c r="B85" t="s">
        <v>79</v>
      </c>
      <c r="C85" t="s">
        <v>80</v>
      </c>
      <c r="D85" t="e">
        <f>IF(B85="yes",VLOOKUP(A85,'FAO crop mapping'!$A$22:$H$60,2,FALSE), "")</f>
        <v>#N/A</v>
      </c>
      <c r="E85" t="e">
        <f>IF(B85="yes",VLOOKUP(A85,'FAO crop mapping'!$A$22:$H$60,3,FALSE), "")</f>
        <v>#N/A</v>
      </c>
      <c r="F85" t="e">
        <f>IF(B85="yes",VLOOKUP(A85,'FAO crop mapping'!$A$22:$H$60,4,FALSE), "")</f>
        <v>#N/A</v>
      </c>
      <c r="G85" t="e">
        <f>IF(B85="yes",VLOOKUP(A85,'FAO crop mapping'!$A$22:$H$60,5,FALSE), "")</f>
        <v>#N/A</v>
      </c>
      <c r="H85" t="str">
        <f>IF(B86="yes",VLOOKUP(A86,'FAO crop mapping'!$A$22:$H$60,6,FALSE), "")</f>
        <v/>
      </c>
      <c r="I85" t="str">
        <f>IF(B86="yes",VLOOKUP(A86,'FAO crop mapping'!$A$22:$H$60,7,FALSE), "")</f>
        <v/>
      </c>
      <c r="J85" t="str">
        <f>IF(B86="yes",VLOOKUP(A86,'FAO crop mapping'!$A$22:$H$60,8,FALSE), "")</f>
        <v/>
      </c>
    </row>
    <row r="86" spans="1:10" x14ac:dyDescent="0.25">
      <c r="A86" t="s">
        <v>158</v>
      </c>
      <c r="B86" t="s">
        <v>80</v>
      </c>
      <c r="C86" t="s">
        <v>80</v>
      </c>
      <c r="D86" t="str">
        <f>IF(B86="yes",VLOOKUP(A86,'FAO crop mapping'!$A$22:$H$60,2,FALSE), "")</f>
        <v/>
      </c>
      <c r="E86" t="str">
        <f>IF(B86="yes",VLOOKUP(A86,'FAO crop mapping'!$A$22:$H$60,3,FALSE), "")</f>
        <v/>
      </c>
      <c r="F86" t="str">
        <f>IF(B86="yes",VLOOKUP(A86,'FAO crop mapping'!$A$22:$H$60,4,FALSE), "")</f>
        <v/>
      </c>
      <c r="G86" t="str">
        <f>IF(B86="yes",VLOOKUP(A86,'FAO crop mapping'!$A$22:$H$60,5,FALSE), "")</f>
        <v/>
      </c>
      <c r="H86" t="str">
        <f>IF(B87="yes",VLOOKUP(A87,'FAO crop mapping'!$A$22:$H$60,6,FALSE), "")</f>
        <v/>
      </c>
      <c r="I86" t="str">
        <f>IF(B87="yes",VLOOKUP(A87,'FAO crop mapping'!$A$22:$H$60,7,FALSE), "")</f>
        <v/>
      </c>
      <c r="J86" t="str">
        <f>IF(B87="yes",VLOOKUP(A87,'FAO crop mapping'!$A$22:$H$60,8,FALSE), "")</f>
        <v/>
      </c>
    </row>
    <row r="87" spans="1:10" x14ac:dyDescent="0.25">
      <c r="A87" t="s">
        <v>159</v>
      </c>
      <c r="B87" t="s">
        <v>80</v>
      </c>
      <c r="C87" t="s">
        <v>80</v>
      </c>
      <c r="D87" t="str">
        <f>IF(B87="yes",VLOOKUP(A87,'FAO crop mapping'!$A$22:$H$60,2,FALSE), "")</f>
        <v/>
      </c>
      <c r="E87" t="str">
        <f>IF(B87="yes",VLOOKUP(A87,'FAO crop mapping'!$A$22:$H$60,3,FALSE), "")</f>
        <v/>
      </c>
      <c r="F87" t="str">
        <f>IF(B87="yes",VLOOKUP(A87,'FAO crop mapping'!$A$22:$H$60,4,FALSE), "")</f>
        <v/>
      </c>
      <c r="G87" t="str">
        <f>IF(B87="yes",VLOOKUP(A87,'FAO crop mapping'!$A$22:$H$60,5,FALSE), "")</f>
        <v/>
      </c>
      <c r="H87" t="str">
        <f>IF(B88="yes",VLOOKUP(A88,'FAO crop mapping'!$A$22:$H$60,6,FALSE), "")</f>
        <v/>
      </c>
      <c r="I87" t="str">
        <f>IF(B88="yes",VLOOKUP(A88,'FAO crop mapping'!$A$22:$H$60,7,FALSE), "")</f>
        <v/>
      </c>
      <c r="J87" t="str">
        <f>IF(B88="yes",VLOOKUP(A88,'FAO crop mapping'!$A$22:$H$60,8,FALSE), "")</f>
        <v/>
      </c>
    </row>
    <row r="88" spans="1:10" x14ac:dyDescent="0.25">
      <c r="A88" t="s">
        <v>160</v>
      </c>
      <c r="B88" t="s">
        <v>80</v>
      </c>
      <c r="C88" t="s">
        <v>80</v>
      </c>
      <c r="D88" t="str">
        <f>IF(B88="yes",VLOOKUP(A88,'FAO crop mapping'!$A$22:$H$60,2,FALSE), "")</f>
        <v/>
      </c>
      <c r="E88" t="str">
        <f>IF(B88="yes",VLOOKUP(A88,'FAO crop mapping'!$A$22:$H$60,3,FALSE), "")</f>
        <v/>
      </c>
      <c r="F88" t="str">
        <f>IF(B88="yes",VLOOKUP(A88,'FAO crop mapping'!$A$22:$H$60,4,FALSE), "")</f>
        <v/>
      </c>
      <c r="G88" t="str">
        <f>IF(B88="yes",VLOOKUP(A88,'FAO crop mapping'!$A$22:$H$60,5,FALSE), "")</f>
        <v/>
      </c>
      <c r="H88" t="e">
        <f>IF(B89="yes",VLOOKUP(A89,'FAO crop mapping'!$A$22:$H$60,6,FALSE), "")</f>
        <v>#N/A</v>
      </c>
      <c r="I88" t="e">
        <f>IF(B89="yes",VLOOKUP(A89,'FAO crop mapping'!$A$22:$H$60,7,FALSE), "")</f>
        <v>#N/A</v>
      </c>
      <c r="J88" t="e">
        <f>IF(B89="yes",VLOOKUP(A89,'FAO crop mapping'!$A$22:$H$60,8,FALSE), "")</f>
        <v>#N/A</v>
      </c>
    </row>
    <row r="89" spans="1:10" x14ac:dyDescent="0.25">
      <c r="A89" t="s">
        <v>161</v>
      </c>
      <c r="B89" t="s">
        <v>79</v>
      </c>
      <c r="C89" t="s">
        <v>80</v>
      </c>
      <c r="D89" t="e">
        <f>IF(B89="yes",VLOOKUP(A89,'FAO crop mapping'!$A$22:$H$60,2,FALSE), "")</f>
        <v>#N/A</v>
      </c>
      <c r="E89" t="e">
        <f>IF(B89="yes",VLOOKUP(A89,'FAO crop mapping'!$A$22:$H$60,3,FALSE), "")</f>
        <v>#N/A</v>
      </c>
      <c r="F89" t="e">
        <f>IF(B89="yes",VLOOKUP(A89,'FAO crop mapping'!$A$22:$H$60,4,FALSE), "")</f>
        <v>#N/A</v>
      </c>
      <c r="G89" t="e">
        <f>IF(B89="yes",VLOOKUP(A89,'FAO crop mapping'!$A$22:$H$60,5,FALSE), "")</f>
        <v>#N/A</v>
      </c>
      <c r="H89" t="e">
        <f>IF(B90="yes",VLOOKUP(A90,'FAO crop mapping'!$A$22:$H$60,6,FALSE), "")</f>
        <v>#N/A</v>
      </c>
      <c r="I89" t="e">
        <f>IF(B90="yes",VLOOKUP(A90,'FAO crop mapping'!$A$22:$H$60,7,FALSE), "")</f>
        <v>#N/A</v>
      </c>
      <c r="J89" t="e">
        <f>IF(B90="yes",VLOOKUP(A90,'FAO crop mapping'!$A$22:$H$60,8,FALSE), "")</f>
        <v>#N/A</v>
      </c>
    </row>
    <row r="90" spans="1:10" x14ac:dyDescent="0.25">
      <c r="A90" t="s">
        <v>162</v>
      </c>
      <c r="B90" t="s">
        <v>79</v>
      </c>
      <c r="C90" t="s">
        <v>80</v>
      </c>
      <c r="D90" t="e">
        <f>IF(B90="yes",VLOOKUP(A90,'FAO crop mapping'!$A$22:$H$60,2,FALSE), "")</f>
        <v>#N/A</v>
      </c>
      <c r="E90" t="e">
        <f>IF(B90="yes",VLOOKUP(A90,'FAO crop mapping'!$A$22:$H$60,3,FALSE), "")</f>
        <v>#N/A</v>
      </c>
      <c r="F90" t="e">
        <f>IF(B90="yes",VLOOKUP(A90,'FAO crop mapping'!$A$22:$H$60,4,FALSE), "")</f>
        <v>#N/A</v>
      </c>
      <c r="G90" t="e">
        <f>IF(B90="yes",VLOOKUP(A90,'FAO crop mapping'!$A$22:$H$60,5,FALSE), "")</f>
        <v>#N/A</v>
      </c>
      <c r="H90">
        <f>IF(B91="yes",VLOOKUP(A91,'FAO crop mapping'!$A$22:$H$60,6,FALSE), "")</f>
        <v>1.3</v>
      </c>
      <c r="I90">
        <f>IF(B91="yes",VLOOKUP(A91,'FAO crop mapping'!$A$22:$H$60,7,FALSE), "")</f>
        <v>0.22</v>
      </c>
      <c r="J90">
        <f>IF(B91="yes",VLOOKUP(A91,'FAO crop mapping'!$A$22:$H$60,8,FALSE), "")</f>
        <v>8.9999999999999993E-3</v>
      </c>
    </row>
    <row r="91" spans="1:10" x14ac:dyDescent="0.25">
      <c r="A91" t="s">
        <v>49</v>
      </c>
      <c r="B91" t="s">
        <v>79</v>
      </c>
      <c r="C91" t="s">
        <v>80</v>
      </c>
      <c r="D91">
        <f>IF(B91="yes",VLOOKUP(A91,'FAO crop mapping'!$A$22:$H$60,2,FALSE), "")</f>
        <v>0.88</v>
      </c>
      <c r="E91">
        <f>IF(B91="yes",VLOOKUP(A91,'FAO crop mapping'!$A$22:$H$60,3,FALSE), "")</f>
        <v>1.0900000000000001</v>
      </c>
      <c r="F91">
        <f>IF(B91="yes",VLOOKUP(A91,'FAO crop mapping'!$A$22:$H$60,4,FALSE), "")</f>
        <v>0.88</v>
      </c>
      <c r="G91">
        <f>IF(B91="yes",VLOOKUP(A91,'FAO crop mapping'!$A$22:$H$60,5,FALSE), "")</f>
        <v>6.0000000000000001E-3</v>
      </c>
      <c r="H91" t="str">
        <f>IF(B92="yes",VLOOKUP(A92,'FAO crop mapping'!$A$22:$H$60,6,FALSE), "")</f>
        <v/>
      </c>
      <c r="I91" t="str">
        <f>IF(B92="yes",VLOOKUP(A92,'FAO crop mapping'!$A$22:$H$60,7,FALSE), "")</f>
        <v/>
      </c>
      <c r="J91" t="str">
        <f>IF(B92="yes",VLOOKUP(A92,'FAO crop mapping'!$A$22:$H$60,8,FALSE), "")</f>
        <v/>
      </c>
    </row>
    <row r="92" spans="1:10" x14ac:dyDescent="0.25">
      <c r="A92" t="s">
        <v>163</v>
      </c>
      <c r="B92" t="s">
        <v>80</v>
      </c>
      <c r="C92" t="s">
        <v>80</v>
      </c>
      <c r="D92" t="str">
        <f>IF(B92="yes",VLOOKUP(A92,'FAO crop mapping'!$A$22:$H$60,2,FALSE), "")</f>
        <v/>
      </c>
      <c r="E92" t="str">
        <f>IF(B92="yes",VLOOKUP(A92,'FAO crop mapping'!$A$22:$H$60,3,FALSE), "")</f>
        <v/>
      </c>
      <c r="F92" t="str">
        <f>IF(B92="yes",VLOOKUP(A92,'FAO crop mapping'!$A$22:$H$60,4,FALSE), "")</f>
        <v/>
      </c>
      <c r="G92" t="str">
        <f>IF(B92="yes",VLOOKUP(A92,'FAO crop mapping'!$A$22:$H$60,5,FALSE), "")</f>
        <v/>
      </c>
      <c r="H92" t="str">
        <f>IF(B93="yes",VLOOKUP(A93,'FAO crop mapping'!$A$22:$H$60,6,FALSE), "")</f>
        <v/>
      </c>
      <c r="I92" t="str">
        <f>IF(B93="yes",VLOOKUP(A93,'FAO crop mapping'!$A$22:$H$60,7,FALSE), "")</f>
        <v/>
      </c>
      <c r="J92" t="str">
        <f>IF(B93="yes",VLOOKUP(A93,'FAO crop mapping'!$A$22:$H$60,8,FALSE), "")</f>
        <v/>
      </c>
    </row>
    <row r="93" spans="1:10" x14ac:dyDescent="0.25">
      <c r="A93" t="s">
        <v>164</v>
      </c>
      <c r="B93" t="s">
        <v>80</v>
      </c>
      <c r="C93" t="s">
        <v>80</v>
      </c>
      <c r="D93" t="str">
        <f>IF(B93="yes",VLOOKUP(A93,'FAO crop mapping'!$A$22:$H$60,2,FALSE), "")</f>
        <v/>
      </c>
      <c r="E93" t="str">
        <f>IF(B93="yes",VLOOKUP(A93,'FAO crop mapping'!$A$22:$H$60,3,FALSE), "")</f>
        <v/>
      </c>
      <c r="F93" t="str">
        <f>IF(B93="yes",VLOOKUP(A93,'FAO crop mapping'!$A$22:$H$60,4,FALSE), "")</f>
        <v/>
      </c>
      <c r="G93" t="str">
        <f>IF(B93="yes",VLOOKUP(A93,'FAO crop mapping'!$A$22:$H$60,5,FALSE), "")</f>
        <v/>
      </c>
      <c r="H93" t="str">
        <f>IF(B94="yes",VLOOKUP(A94,'FAO crop mapping'!$A$22:$H$60,6,FALSE), "")</f>
        <v/>
      </c>
      <c r="I93" t="str">
        <f>IF(B94="yes",VLOOKUP(A94,'FAO crop mapping'!$A$22:$H$60,7,FALSE), "")</f>
        <v/>
      </c>
      <c r="J93" t="str">
        <f>IF(B94="yes",VLOOKUP(A94,'FAO crop mapping'!$A$22:$H$60,8,FALSE), "")</f>
        <v/>
      </c>
    </row>
    <row r="94" spans="1:10" x14ac:dyDescent="0.25">
      <c r="A94" t="s">
        <v>165</v>
      </c>
      <c r="B94" t="s">
        <v>80</v>
      </c>
      <c r="C94" t="s">
        <v>80</v>
      </c>
      <c r="D94" t="str">
        <f>IF(B94="yes",VLOOKUP(A94,'FAO crop mapping'!$A$22:$H$60,2,FALSE), "")</f>
        <v/>
      </c>
      <c r="E94" t="str">
        <f>IF(B94="yes",VLOOKUP(A94,'FAO crop mapping'!$A$22:$H$60,3,FALSE), "")</f>
        <v/>
      </c>
      <c r="F94" t="str">
        <f>IF(B94="yes",VLOOKUP(A94,'FAO crop mapping'!$A$22:$H$60,4,FALSE), "")</f>
        <v/>
      </c>
      <c r="G94" t="str">
        <f>IF(B94="yes",VLOOKUP(A94,'FAO crop mapping'!$A$22:$H$60,5,FALSE), "")</f>
        <v/>
      </c>
      <c r="H94" t="str">
        <f>IF(B95="yes",VLOOKUP(A95,'FAO crop mapping'!$A$22:$H$60,6,FALSE), "")</f>
        <v/>
      </c>
      <c r="I94" t="str">
        <f>IF(B95="yes",VLOOKUP(A95,'FAO crop mapping'!$A$22:$H$60,7,FALSE), "")</f>
        <v/>
      </c>
      <c r="J94" t="str">
        <f>IF(B95="yes",VLOOKUP(A95,'FAO crop mapping'!$A$22:$H$60,8,FALSE), "")</f>
        <v/>
      </c>
    </row>
    <row r="95" spans="1:10" x14ac:dyDescent="0.25">
      <c r="A95" t="s">
        <v>166</v>
      </c>
      <c r="B95" t="s">
        <v>80</v>
      </c>
      <c r="C95" t="s">
        <v>80</v>
      </c>
      <c r="D95" t="str">
        <f>IF(B95="yes",VLOOKUP(A95,'FAO crop mapping'!$A$22:$H$60,2,FALSE), "")</f>
        <v/>
      </c>
      <c r="E95" t="str">
        <f>IF(B95="yes",VLOOKUP(A95,'FAO crop mapping'!$A$22:$H$60,3,FALSE), "")</f>
        <v/>
      </c>
      <c r="F95" t="str">
        <f>IF(B95="yes",VLOOKUP(A95,'FAO crop mapping'!$A$22:$H$60,4,FALSE), "")</f>
        <v/>
      </c>
      <c r="G95" t="str">
        <f>IF(B95="yes",VLOOKUP(A95,'FAO crop mapping'!$A$22:$H$60,5,FALSE), "")</f>
        <v/>
      </c>
      <c r="H95" t="e">
        <f>IF(B96="yes",VLOOKUP(A96,'FAO crop mapping'!$A$22:$H$60,6,FALSE), "")</f>
        <v>#N/A</v>
      </c>
      <c r="I95" t="e">
        <f>IF(B96="yes",VLOOKUP(A96,'FAO crop mapping'!$A$22:$H$60,7,FALSE), "")</f>
        <v>#N/A</v>
      </c>
      <c r="J95" t="e">
        <f>IF(B96="yes",VLOOKUP(A96,'FAO crop mapping'!$A$22:$H$60,8,FALSE), "")</f>
        <v>#N/A</v>
      </c>
    </row>
    <row r="96" spans="1:10" x14ac:dyDescent="0.25">
      <c r="A96" t="s">
        <v>167</v>
      </c>
      <c r="B96" t="s">
        <v>79</v>
      </c>
      <c r="C96" t="s">
        <v>80</v>
      </c>
      <c r="D96" t="e">
        <f>IF(B96="yes",VLOOKUP(A96,'FAO crop mapping'!$A$22:$H$60,2,FALSE), "")</f>
        <v>#N/A</v>
      </c>
      <c r="E96" t="e">
        <f>IF(B96="yes",VLOOKUP(A96,'FAO crop mapping'!$A$22:$H$60,3,FALSE), "")</f>
        <v>#N/A</v>
      </c>
      <c r="F96" t="e">
        <f>IF(B96="yes",VLOOKUP(A96,'FAO crop mapping'!$A$22:$H$60,4,FALSE), "")</f>
        <v>#N/A</v>
      </c>
      <c r="G96" t="e">
        <f>IF(B96="yes",VLOOKUP(A96,'FAO crop mapping'!$A$22:$H$60,5,FALSE), "")</f>
        <v>#N/A</v>
      </c>
      <c r="H96" t="str">
        <f>IF(B97="yes",VLOOKUP(A97,'FAO crop mapping'!$A$22:$H$60,6,FALSE), "")</f>
        <v/>
      </c>
      <c r="I96" t="str">
        <f>IF(B97="yes",VLOOKUP(A97,'FAO crop mapping'!$A$22:$H$60,7,FALSE), "")</f>
        <v/>
      </c>
      <c r="J96" t="str">
        <f>IF(B97="yes",VLOOKUP(A97,'FAO crop mapping'!$A$22:$H$60,8,FALSE), "")</f>
        <v/>
      </c>
    </row>
    <row r="97" spans="1:10" x14ac:dyDescent="0.25">
      <c r="A97" t="s">
        <v>168</v>
      </c>
      <c r="B97" t="s">
        <v>80</v>
      </c>
      <c r="C97" t="s">
        <v>80</v>
      </c>
      <c r="D97" t="str">
        <f>IF(B97="yes",VLOOKUP(A97,'FAO crop mapping'!$A$22:$H$60,2,FALSE), "")</f>
        <v/>
      </c>
      <c r="E97" t="str">
        <f>IF(B97="yes",VLOOKUP(A97,'FAO crop mapping'!$A$22:$H$60,3,FALSE), "")</f>
        <v/>
      </c>
      <c r="F97" t="str">
        <f>IF(B97="yes",VLOOKUP(A97,'FAO crop mapping'!$A$22:$H$60,4,FALSE), "")</f>
        <v/>
      </c>
      <c r="G97" t="str">
        <f>IF(B97="yes",VLOOKUP(A97,'FAO crop mapping'!$A$22:$H$60,5,FALSE), "")</f>
        <v/>
      </c>
      <c r="H97" t="str">
        <f>IF(B98="yes",VLOOKUP(A98,'FAO crop mapping'!$A$22:$H$60,6,FALSE), "")</f>
        <v/>
      </c>
      <c r="I97" t="str">
        <f>IF(B98="yes",VLOOKUP(A98,'FAO crop mapping'!$A$22:$H$60,7,FALSE), "")</f>
        <v/>
      </c>
      <c r="J97" t="str">
        <f>IF(B98="yes",VLOOKUP(A98,'FAO crop mapping'!$A$22:$H$60,8,FALSE), "")</f>
        <v/>
      </c>
    </row>
    <row r="98" spans="1:10" x14ac:dyDescent="0.25">
      <c r="A98" t="s">
        <v>169</v>
      </c>
      <c r="B98" t="s">
        <v>80</v>
      </c>
      <c r="C98" t="s">
        <v>80</v>
      </c>
      <c r="D98" t="str">
        <f>IF(B98="yes",VLOOKUP(A98,'FAO crop mapping'!$A$22:$H$60,2,FALSE), "")</f>
        <v/>
      </c>
      <c r="E98" t="str">
        <f>IF(B98="yes",VLOOKUP(A98,'FAO crop mapping'!$A$22:$H$60,3,FALSE), "")</f>
        <v/>
      </c>
      <c r="F98" t="str">
        <f>IF(B98="yes",VLOOKUP(A98,'FAO crop mapping'!$A$22:$H$60,4,FALSE), "")</f>
        <v/>
      </c>
      <c r="G98" t="str">
        <f>IF(B98="yes",VLOOKUP(A98,'FAO crop mapping'!$A$22:$H$60,5,FALSE), "")</f>
        <v/>
      </c>
      <c r="H98" t="e">
        <f>IF(B99="yes",VLOOKUP(A99,'FAO crop mapping'!$A$22:$H$60,6,FALSE), "")</f>
        <v>#N/A</v>
      </c>
      <c r="I98" t="e">
        <f>IF(B99="yes",VLOOKUP(A99,'FAO crop mapping'!$A$22:$H$60,7,FALSE), "")</f>
        <v>#N/A</v>
      </c>
      <c r="J98" t="e">
        <f>IF(B99="yes",VLOOKUP(A99,'FAO crop mapping'!$A$22:$H$60,8,FALSE), "")</f>
        <v>#N/A</v>
      </c>
    </row>
    <row r="99" spans="1:10" x14ac:dyDescent="0.25">
      <c r="A99" t="s">
        <v>170</v>
      </c>
      <c r="B99" t="s">
        <v>79</v>
      </c>
      <c r="C99" t="s">
        <v>80</v>
      </c>
      <c r="D99" t="e">
        <f>IF(B99="yes",VLOOKUP(A99,'FAO crop mapping'!$A$22:$H$60,2,FALSE), "")</f>
        <v>#N/A</v>
      </c>
      <c r="E99" t="e">
        <f>IF(B99="yes",VLOOKUP(A99,'FAO crop mapping'!$A$22:$H$60,3,FALSE), "")</f>
        <v>#N/A</v>
      </c>
      <c r="F99" t="e">
        <f>IF(B99="yes",VLOOKUP(A99,'FAO crop mapping'!$A$22:$H$60,4,FALSE), "")</f>
        <v>#N/A</v>
      </c>
      <c r="G99" t="e">
        <f>IF(B99="yes",VLOOKUP(A99,'FAO crop mapping'!$A$22:$H$60,5,FALSE), "")</f>
        <v>#N/A</v>
      </c>
      <c r="H99" t="e">
        <f>IF(B100="yes",VLOOKUP(A100,'FAO crop mapping'!$A$22:$H$60,6,FALSE), "")</f>
        <v>#N/A</v>
      </c>
      <c r="I99" t="e">
        <f>IF(B100="yes",VLOOKUP(A100,'FAO crop mapping'!$A$22:$H$60,7,FALSE), "")</f>
        <v>#N/A</v>
      </c>
      <c r="J99" t="e">
        <f>IF(B100="yes",VLOOKUP(A100,'FAO crop mapping'!$A$22:$H$60,8,FALSE), "")</f>
        <v>#N/A</v>
      </c>
    </row>
    <row r="100" spans="1:10" x14ac:dyDescent="0.25">
      <c r="A100" t="s">
        <v>171</v>
      </c>
      <c r="B100" t="s">
        <v>79</v>
      </c>
      <c r="C100" t="s">
        <v>80</v>
      </c>
      <c r="D100" t="e">
        <f>IF(B100="yes",VLOOKUP(A100,'FAO crop mapping'!$A$22:$H$60,2,FALSE), "")</f>
        <v>#N/A</v>
      </c>
      <c r="E100" t="e">
        <f>IF(B100="yes",VLOOKUP(A100,'FAO crop mapping'!$A$22:$H$60,3,FALSE), "")</f>
        <v>#N/A</v>
      </c>
      <c r="F100" t="e">
        <f>IF(B100="yes",VLOOKUP(A100,'FAO crop mapping'!$A$22:$H$60,4,FALSE), "")</f>
        <v>#N/A</v>
      </c>
      <c r="G100" t="e">
        <f>IF(B100="yes",VLOOKUP(A100,'FAO crop mapping'!$A$22:$H$60,5,FALSE), "")</f>
        <v>#N/A</v>
      </c>
      <c r="H100" t="str">
        <f>IF(B101="yes",VLOOKUP(A101,'FAO crop mapping'!$A$22:$H$60,6,FALSE), "")</f>
        <v/>
      </c>
      <c r="I100" t="str">
        <f>IF(B101="yes",VLOOKUP(A101,'FAO crop mapping'!$A$22:$H$60,7,FALSE), "")</f>
        <v/>
      </c>
      <c r="J100" t="str">
        <f>IF(B101="yes",VLOOKUP(A101,'FAO crop mapping'!$A$22:$H$60,8,FALSE), "")</f>
        <v/>
      </c>
    </row>
    <row r="101" spans="1:10" x14ac:dyDescent="0.25">
      <c r="A101" t="s">
        <v>172</v>
      </c>
      <c r="B101" t="s">
        <v>80</v>
      </c>
      <c r="C101" t="s">
        <v>80</v>
      </c>
      <c r="D101" t="str">
        <f>IF(B101="yes",VLOOKUP(A101,'FAO crop mapping'!$A$22:$H$60,2,FALSE), "")</f>
        <v/>
      </c>
      <c r="E101" t="str">
        <f>IF(B101="yes",VLOOKUP(A101,'FAO crop mapping'!$A$22:$H$60,3,FALSE), "")</f>
        <v/>
      </c>
      <c r="F101" t="str">
        <f>IF(B101="yes",VLOOKUP(A101,'FAO crop mapping'!$A$22:$H$60,4,FALSE), "")</f>
        <v/>
      </c>
      <c r="G101" t="str">
        <f>IF(B101="yes",VLOOKUP(A101,'FAO crop mapping'!$A$22:$H$60,5,FALSE), "")</f>
        <v/>
      </c>
      <c r="H101" t="e">
        <f>IF(B102="yes",VLOOKUP(A102,'FAO crop mapping'!$A$22:$H$60,6,FALSE), "")</f>
        <v>#N/A</v>
      </c>
      <c r="I101" t="e">
        <f>IF(B102="yes",VLOOKUP(A102,'FAO crop mapping'!$A$22:$H$60,7,FALSE), "")</f>
        <v>#N/A</v>
      </c>
      <c r="J101" t="e">
        <f>IF(B102="yes",VLOOKUP(A102,'FAO crop mapping'!$A$22:$H$60,8,FALSE), "")</f>
        <v>#N/A</v>
      </c>
    </row>
    <row r="102" spans="1:10" x14ac:dyDescent="0.25">
      <c r="A102" t="s">
        <v>173</v>
      </c>
      <c r="B102" t="s">
        <v>79</v>
      </c>
      <c r="C102" t="s">
        <v>80</v>
      </c>
      <c r="D102" t="e">
        <f>IF(B102="yes",VLOOKUP(A102,'FAO crop mapping'!$A$22:$H$60,2,FALSE), "")</f>
        <v>#N/A</v>
      </c>
      <c r="E102" t="e">
        <f>IF(B102="yes",VLOOKUP(A102,'FAO crop mapping'!$A$22:$H$60,3,FALSE), "")</f>
        <v>#N/A</v>
      </c>
      <c r="F102" t="e">
        <f>IF(B102="yes",VLOOKUP(A102,'FAO crop mapping'!$A$22:$H$60,4,FALSE), "")</f>
        <v>#N/A</v>
      </c>
      <c r="G102" t="e">
        <f>IF(B102="yes",VLOOKUP(A102,'FAO crop mapping'!$A$22:$H$60,5,FALSE), "")</f>
        <v>#N/A</v>
      </c>
      <c r="H102" t="str">
        <f>IF(B103="yes",VLOOKUP(A103,'FAO crop mapping'!$A$22:$H$60,6,FALSE), "")</f>
        <v/>
      </c>
      <c r="I102" t="str">
        <f>IF(B103="yes",VLOOKUP(A103,'FAO crop mapping'!$A$22:$H$60,7,FALSE), "")</f>
        <v/>
      </c>
      <c r="J102" t="str">
        <f>IF(B103="yes",VLOOKUP(A103,'FAO crop mapping'!$A$22:$H$60,8,FALSE), "")</f>
        <v/>
      </c>
    </row>
    <row r="103" spans="1:10" x14ac:dyDescent="0.25">
      <c r="A103" t="s">
        <v>174</v>
      </c>
      <c r="B103" t="s">
        <v>80</v>
      </c>
      <c r="C103" t="s">
        <v>80</v>
      </c>
      <c r="D103" t="str">
        <f>IF(B103="yes",VLOOKUP(A103,'FAO crop mapping'!$A$22:$H$60,2,FALSE), "")</f>
        <v/>
      </c>
      <c r="E103" t="str">
        <f>IF(B103="yes",VLOOKUP(A103,'FAO crop mapping'!$A$22:$H$60,3,FALSE), "")</f>
        <v/>
      </c>
      <c r="F103" t="str">
        <f>IF(B103="yes",VLOOKUP(A103,'FAO crop mapping'!$A$22:$H$60,4,FALSE), "")</f>
        <v/>
      </c>
      <c r="G103" t="str">
        <f>IF(B103="yes",VLOOKUP(A103,'FAO crop mapping'!$A$22:$H$60,5,FALSE), "")</f>
        <v/>
      </c>
      <c r="H103" t="str">
        <f>IF(B104="yes",VLOOKUP(A104,'FAO crop mapping'!$A$22:$H$60,6,FALSE), "")</f>
        <v/>
      </c>
      <c r="I103" t="str">
        <f>IF(B104="yes",VLOOKUP(A104,'FAO crop mapping'!$A$22:$H$60,7,FALSE), "")</f>
        <v/>
      </c>
      <c r="J103" t="str">
        <f>IF(B104="yes",VLOOKUP(A104,'FAO crop mapping'!$A$22:$H$60,8,FALSE), "")</f>
        <v/>
      </c>
    </row>
    <row r="104" spans="1:10" x14ac:dyDescent="0.25">
      <c r="A104" t="s">
        <v>175</v>
      </c>
      <c r="B104" t="s">
        <v>80</v>
      </c>
      <c r="C104" t="s">
        <v>80</v>
      </c>
      <c r="D104" t="str">
        <f>IF(B104="yes",VLOOKUP(A104,'FAO crop mapping'!$A$22:$H$60,2,FALSE), "")</f>
        <v/>
      </c>
      <c r="E104" t="str">
        <f>IF(B104="yes",VLOOKUP(A104,'FAO crop mapping'!$A$22:$H$60,3,FALSE), "")</f>
        <v/>
      </c>
      <c r="F104" t="str">
        <f>IF(B104="yes",VLOOKUP(A104,'FAO crop mapping'!$A$22:$H$60,4,FALSE), "")</f>
        <v/>
      </c>
      <c r="G104" t="str">
        <f>IF(B104="yes",VLOOKUP(A104,'FAO crop mapping'!$A$22:$H$60,5,FALSE), "")</f>
        <v/>
      </c>
      <c r="H104" t="e">
        <f>IF(B105="yes",VLOOKUP(A105,'FAO crop mapping'!$A$22:$H$60,6,FALSE), "")</f>
        <v>#N/A</v>
      </c>
      <c r="I104" t="e">
        <f>IF(B105="yes",VLOOKUP(A105,'FAO crop mapping'!$A$22:$H$60,7,FALSE), "")</f>
        <v>#N/A</v>
      </c>
      <c r="J104" t="e">
        <f>IF(B105="yes",VLOOKUP(A105,'FAO crop mapping'!$A$22:$H$60,8,FALSE), "")</f>
        <v>#N/A</v>
      </c>
    </row>
    <row r="105" spans="1:10" x14ac:dyDescent="0.25">
      <c r="A105" t="s">
        <v>176</v>
      </c>
      <c r="B105" t="s">
        <v>79</v>
      </c>
      <c r="C105" t="s">
        <v>79</v>
      </c>
      <c r="D105" t="e">
        <f>IF(B105="yes",VLOOKUP(A105,'FAO crop mapping'!$A$22:$H$60,2,FALSE), "")</f>
        <v>#N/A</v>
      </c>
      <c r="E105" t="e">
        <f>IF(B105="yes",VLOOKUP(A105,'FAO crop mapping'!$A$22:$H$60,3,FALSE), "")</f>
        <v>#N/A</v>
      </c>
      <c r="F105" t="e">
        <f>IF(B105="yes",VLOOKUP(A105,'FAO crop mapping'!$A$22:$H$60,4,FALSE), "")</f>
        <v>#N/A</v>
      </c>
      <c r="G105" t="e">
        <f>IF(B105="yes",VLOOKUP(A105,'FAO crop mapping'!$A$22:$H$60,5,FALSE), "")</f>
        <v>#N/A</v>
      </c>
      <c r="H105" t="e">
        <f>IF(B106="yes",VLOOKUP(A106,'FAO crop mapping'!$A$22:$H$60,6,FALSE), "")</f>
        <v>#N/A</v>
      </c>
      <c r="I105" t="e">
        <f>IF(B106="yes",VLOOKUP(A106,'FAO crop mapping'!$A$22:$H$60,7,FALSE), "")</f>
        <v>#N/A</v>
      </c>
      <c r="J105" t="e">
        <f>IF(B106="yes",VLOOKUP(A106,'FAO crop mapping'!$A$22:$H$60,8,FALSE), "")</f>
        <v>#N/A</v>
      </c>
    </row>
    <row r="106" spans="1:10" x14ac:dyDescent="0.25">
      <c r="A106" t="s">
        <v>177</v>
      </c>
      <c r="B106" t="s">
        <v>79</v>
      </c>
      <c r="C106" t="s">
        <v>79</v>
      </c>
      <c r="D106" t="e">
        <f>IF(B106="yes",VLOOKUP(A106,'FAO crop mapping'!$A$22:$H$60,2,FALSE), "")</f>
        <v>#N/A</v>
      </c>
      <c r="E106" t="e">
        <f>IF(B106="yes",VLOOKUP(A106,'FAO crop mapping'!$A$22:$H$60,3,FALSE), "")</f>
        <v>#N/A</v>
      </c>
      <c r="F106" t="e">
        <f>IF(B106="yes",VLOOKUP(A106,'FAO crop mapping'!$A$22:$H$60,4,FALSE), "")</f>
        <v>#N/A</v>
      </c>
      <c r="G106" t="e">
        <f>IF(B106="yes",VLOOKUP(A106,'FAO crop mapping'!$A$22:$H$60,5,FALSE), "")</f>
        <v>#N/A</v>
      </c>
      <c r="H106" t="e">
        <f>IF(B107="yes",VLOOKUP(A107,'FAO crop mapping'!$A$22:$H$60,6,FALSE), "")</f>
        <v>#N/A</v>
      </c>
      <c r="I106" t="e">
        <f>IF(B107="yes",VLOOKUP(A107,'FAO crop mapping'!$A$22:$H$60,7,FALSE), "")</f>
        <v>#N/A</v>
      </c>
      <c r="J106" t="e">
        <f>IF(B107="yes",VLOOKUP(A107,'FAO crop mapping'!$A$22:$H$60,8,FALSE), "")</f>
        <v>#N/A</v>
      </c>
    </row>
    <row r="107" spans="1:10" x14ac:dyDescent="0.25">
      <c r="A107" t="s">
        <v>178</v>
      </c>
      <c r="B107" t="s">
        <v>79</v>
      </c>
      <c r="C107" t="s">
        <v>80</v>
      </c>
      <c r="D107" t="e">
        <f>IF(B107="yes",VLOOKUP(A107,'FAO crop mapping'!$A$22:$H$60,2,FALSE), "")</f>
        <v>#N/A</v>
      </c>
      <c r="E107" t="e">
        <f>IF(B107="yes",VLOOKUP(A107,'FAO crop mapping'!$A$22:$H$60,3,FALSE), "")</f>
        <v>#N/A</v>
      </c>
      <c r="F107" t="e">
        <f>IF(B107="yes",VLOOKUP(A107,'FAO crop mapping'!$A$22:$H$60,4,FALSE), "")</f>
        <v>#N/A</v>
      </c>
      <c r="G107" t="e">
        <f>IF(B107="yes",VLOOKUP(A107,'FAO crop mapping'!$A$22:$H$60,5,FALSE), "")</f>
        <v>#N/A</v>
      </c>
      <c r="H107" t="str">
        <f>IF(B108="yes",VLOOKUP(A108,'FAO crop mapping'!$A$22:$H$60,6,FALSE), "")</f>
        <v/>
      </c>
      <c r="I107" t="str">
        <f>IF(B108="yes",VLOOKUP(A108,'FAO crop mapping'!$A$22:$H$60,7,FALSE), "")</f>
        <v/>
      </c>
      <c r="J107" t="str">
        <f>IF(B108="yes",VLOOKUP(A108,'FAO crop mapping'!$A$22:$H$60,8,FALSE), "")</f>
        <v/>
      </c>
    </row>
    <row r="108" spans="1:10" x14ac:dyDescent="0.25">
      <c r="A108" t="s">
        <v>179</v>
      </c>
      <c r="B108" t="s">
        <v>80</v>
      </c>
      <c r="C108" t="s">
        <v>80</v>
      </c>
      <c r="D108" t="str">
        <f>IF(B108="yes",VLOOKUP(A108,'FAO crop mapping'!$A$22:$H$60,2,FALSE), "")</f>
        <v/>
      </c>
      <c r="E108" t="str">
        <f>IF(B108="yes",VLOOKUP(A108,'FAO crop mapping'!$A$22:$H$60,3,FALSE), "")</f>
        <v/>
      </c>
      <c r="F108" t="str">
        <f>IF(B108="yes",VLOOKUP(A108,'FAO crop mapping'!$A$22:$H$60,4,FALSE), "")</f>
        <v/>
      </c>
      <c r="G108" t="str">
        <f>IF(B108="yes",VLOOKUP(A108,'FAO crop mapping'!$A$22:$H$60,5,FALSE), "")</f>
        <v/>
      </c>
      <c r="H108" t="str">
        <f>IF(B109="yes",VLOOKUP(A109,'FAO crop mapping'!$A$22:$H$60,6,FALSE), "")</f>
        <v/>
      </c>
      <c r="I108" t="str">
        <f>IF(B109="yes",VLOOKUP(A109,'FAO crop mapping'!$A$22:$H$60,7,FALSE), "")</f>
        <v/>
      </c>
      <c r="J108" t="str">
        <f>IF(B109="yes",VLOOKUP(A109,'FAO crop mapping'!$A$22:$H$60,8,FALSE), "")</f>
        <v/>
      </c>
    </row>
    <row r="109" spans="1:10" x14ac:dyDescent="0.25">
      <c r="A109" t="s">
        <v>180</v>
      </c>
      <c r="B109" t="s">
        <v>80</v>
      </c>
      <c r="C109" t="s">
        <v>80</v>
      </c>
      <c r="D109" t="str">
        <f>IF(B109="yes",VLOOKUP(A109,'FAO crop mapping'!$A$22:$H$60,2,FALSE), "")</f>
        <v/>
      </c>
      <c r="E109" t="str">
        <f>IF(B109="yes",VLOOKUP(A109,'FAO crop mapping'!$A$22:$H$60,3,FALSE), "")</f>
        <v/>
      </c>
      <c r="F109" t="str">
        <f>IF(B109="yes",VLOOKUP(A109,'FAO crop mapping'!$A$22:$H$60,4,FALSE), "")</f>
        <v/>
      </c>
      <c r="G109" t="str">
        <f>IF(B109="yes",VLOOKUP(A109,'FAO crop mapping'!$A$22:$H$60,5,FALSE), "")</f>
        <v/>
      </c>
      <c r="H109" t="str">
        <f>IF(B110="yes",VLOOKUP(A110,'FAO crop mapping'!$A$22:$H$60,6,FALSE), "")</f>
        <v/>
      </c>
      <c r="I109" t="str">
        <f>IF(B110="yes",VLOOKUP(A110,'FAO crop mapping'!$A$22:$H$60,7,FALSE), "")</f>
        <v/>
      </c>
      <c r="J109" t="str">
        <f>IF(B110="yes",VLOOKUP(A110,'FAO crop mapping'!$A$22:$H$60,8,FALSE), "")</f>
        <v/>
      </c>
    </row>
    <row r="110" spans="1:10" x14ac:dyDescent="0.25">
      <c r="A110" t="s">
        <v>181</v>
      </c>
      <c r="B110" t="s">
        <v>80</v>
      </c>
      <c r="C110" t="s">
        <v>80</v>
      </c>
      <c r="D110" t="str">
        <f>IF(B110="yes",VLOOKUP(A110,'FAO crop mapping'!$A$22:$H$60,2,FALSE), "")</f>
        <v/>
      </c>
      <c r="E110" t="str">
        <f>IF(B110="yes",VLOOKUP(A110,'FAO crop mapping'!$A$22:$H$60,3,FALSE), "")</f>
        <v/>
      </c>
      <c r="F110" t="str">
        <f>IF(B110="yes",VLOOKUP(A110,'FAO crop mapping'!$A$22:$H$60,4,FALSE), "")</f>
        <v/>
      </c>
      <c r="G110" t="str">
        <f>IF(B110="yes",VLOOKUP(A110,'FAO crop mapping'!$A$22:$H$60,5,FALSE), "")</f>
        <v/>
      </c>
      <c r="H110" t="str">
        <f>IF(B111="yes",VLOOKUP(A111,'FAO crop mapping'!$A$22:$H$60,6,FALSE), "")</f>
        <v/>
      </c>
      <c r="I110" t="str">
        <f>IF(B111="yes",VLOOKUP(A111,'FAO crop mapping'!$A$22:$H$60,7,FALSE), "")</f>
        <v/>
      </c>
      <c r="J110" t="str">
        <f>IF(B111="yes",VLOOKUP(A111,'FAO crop mapping'!$A$22:$H$60,8,FALSE), "")</f>
        <v/>
      </c>
    </row>
    <row r="111" spans="1:10" x14ac:dyDescent="0.25">
      <c r="A111" t="s">
        <v>182</v>
      </c>
      <c r="B111" t="s">
        <v>80</v>
      </c>
      <c r="C111" t="s">
        <v>80</v>
      </c>
      <c r="D111" t="str">
        <f>IF(B111="yes",VLOOKUP(A111,'FAO crop mapping'!$A$22:$H$60,2,FALSE), "")</f>
        <v/>
      </c>
      <c r="E111" t="str">
        <f>IF(B111="yes",VLOOKUP(A111,'FAO crop mapping'!$A$22:$H$60,3,FALSE), "")</f>
        <v/>
      </c>
      <c r="F111" t="str">
        <f>IF(B111="yes",VLOOKUP(A111,'FAO crop mapping'!$A$22:$H$60,4,FALSE), "")</f>
        <v/>
      </c>
      <c r="G111" t="str">
        <f>IF(B111="yes",VLOOKUP(A111,'FAO crop mapping'!$A$22:$H$60,5,FALSE), "")</f>
        <v/>
      </c>
      <c r="H111" t="e">
        <f>IF(B112="yes",VLOOKUP(A112,'FAO crop mapping'!$A$22:$H$60,6,FALSE), "")</f>
        <v>#N/A</v>
      </c>
      <c r="I111" t="e">
        <f>IF(B112="yes",VLOOKUP(A112,'FAO crop mapping'!$A$22:$H$60,7,FALSE), "")</f>
        <v>#N/A</v>
      </c>
      <c r="J111" t="e">
        <f>IF(B112="yes",VLOOKUP(A112,'FAO crop mapping'!$A$22:$H$60,8,FALSE), "")</f>
        <v>#N/A</v>
      </c>
    </row>
    <row r="112" spans="1:10" x14ac:dyDescent="0.25">
      <c r="A112" t="s">
        <v>183</v>
      </c>
      <c r="B112" t="s">
        <v>79</v>
      </c>
      <c r="C112" t="s">
        <v>80</v>
      </c>
      <c r="D112" t="e">
        <f>IF(B112="yes",VLOOKUP(A112,'FAO crop mapping'!$A$22:$H$60,2,FALSE), "")</f>
        <v>#N/A</v>
      </c>
      <c r="E112" t="e">
        <f>IF(B112="yes",VLOOKUP(A112,'FAO crop mapping'!$A$22:$H$60,3,FALSE), "")</f>
        <v>#N/A</v>
      </c>
      <c r="F112" t="e">
        <f>IF(B112="yes",VLOOKUP(A112,'FAO crop mapping'!$A$22:$H$60,4,FALSE), "")</f>
        <v>#N/A</v>
      </c>
      <c r="G112" t="e">
        <f>IF(B112="yes",VLOOKUP(A112,'FAO crop mapping'!$A$22:$H$60,5,FALSE), "")</f>
        <v>#N/A</v>
      </c>
      <c r="H112" t="e">
        <f>IF(B113="yes",VLOOKUP(A113,'FAO crop mapping'!$A$22:$H$60,6,FALSE), "")</f>
        <v>#N/A</v>
      </c>
      <c r="I112" t="e">
        <f>IF(B113="yes",VLOOKUP(A113,'FAO crop mapping'!$A$22:$H$60,7,FALSE), "")</f>
        <v>#N/A</v>
      </c>
      <c r="J112" t="e">
        <f>IF(B113="yes",VLOOKUP(A113,'FAO crop mapping'!$A$22:$H$60,8,FALSE), "")</f>
        <v>#N/A</v>
      </c>
    </row>
    <row r="113" spans="1:10" x14ac:dyDescent="0.25">
      <c r="A113" t="s">
        <v>184</v>
      </c>
      <c r="B113" t="s">
        <v>79</v>
      </c>
      <c r="C113" t="s">
        <v>80</v>
      </c>
      <c r="D113" t="e">
        <f>IF(B113="yes",VLOOKUP(A113,'FAO crop mapping'!$A$22:$H$60,2,FALSE), "")</f>
        <v>#N/A</v>
      </c>
      <c r="E113" t="e">
        <f>IF(B113="yes",VLOOKUP(A113,'FAO crop mapping'!$A$22:$H$60,3,FALSE), "")</f>
        <v>#N/A</v>
      </c>
      <c r="F113" t="e">
        <f>IF(B113="yes",VLOOKUP(A113,'FAO crop mapping'!$A$22:$H$60,4,FALSE), "")</f>
        <v>#N/A</v>
      </c>
      <c r="G113" t="e">
        <f>IF(B113="yes",VLOOKUP(A113,'FAO crop mapping'!$A$22:$H$60,5,FALSE), "")</f>
        <v>#N/A</v>
      </c>
      <c r="H113" t="str">
        <f>IF(B114="yes",VLOOKUP(A114,'FAO crop mapping'!$A$22:$H$60,6,FALSE), "")</f>
        <v/>
      </c>
      <c r="I113" t="str">
        <f>IF(B114="yes",VLOOKUP(A114,'FAO crop mapping'!$A$22:$H$60,7,FALSE), "")</f>
        <v/>
      </c>
      <c r="J113" t="str">
        <f>IF(B114="yes",VLOOKUP(A114,'FAO crop mapping'!$A$22:$H$60,8,FALSE), "")</f>
        <v/>
      </c>
    </row>
    <row r="114" spans="1:10" x14ac:dyDescent="0.25">
      <c r="A114" t="s">
        <v>185</v>
      </c>
      <c r="B114" t="s">
        <v>80</v>
      </c>
      <c r="C114" t="s">
        <v>80</v>
      </c>
      <c r="D114" t="str">
        <f>IF(B114="yes",VLOOKUP(A114,'FAO crop mapping'!$A$22:$H$60,2,FALSE), "")</f>
        <v/>
      </c>
      <c r="E114" t="str">
        <f>IF(B114="yes",VLOOKUP(A114,'FAO crop mapping'!$A$22:$H$60,3,FALSE), "")</f>
        <v/>
      </c>
      <c r="F114" t="str">
        <f>IF(B114="yes",VLOOKUP(A114,'FAO crop mapping'!$A$22:$H$60,4,FALSE), "")</f>
        <v/>
      </c>
      <c r="G114" t="str">
        <f>IF(B114="yes",VLOOKUP(A114,'FAO crop mapping'!$A$22:$H$60,5,FALSE), "")</f>
        <v/>
      </c>
      <c r="H114" t="e">
        <f>IF(B115="yes",VLOOKUP(A115,'FAO crop mapping'!$A$22:$H$60,6,FALSE), "")</f>
        <v>#N/A</v>
      </c>
      <c r="I114" t="e">
        <f>IF(B115="yes",VLOOKUP(A115,'FAO crop mapping'!$A$22:$H$60,7,FALSE), "")</f>
        <v>#N/A</v>
      </c>
      <c r="J114" t="e">
        <f>IF(B115="yes",VLOOKUP(A115,'FAO crop mapping'!$A$22:$H$60,8,FALSE), "")</f>
        <v>#N/A</v>
      </c>
    </row>
    <row r="115" spans="1:10" x14ac:dyDescent="0.25">
      <c r="A115" t="s">
        <v>186</v>
      </c>
      <c r="B115" t="s">
        <v>79</v>
      </c>
      <c r="C115" t="s">
        <v>80</v>
      </c>
      <c r="D115" t="e">
        <f>IF(B115="yes",VLOOKUP(A115,'FAO crop mapping'!$A$22:$H$60,2,FALSE), "")</f>
        <v>#N/A</v>
      </c>
      <c r="E115" t="e">
        <f>IF(B115="yes",VLOOKUP(A115,'FAO crop mapping'!$A$22:$H$60,3,FALSE), "")</f>
        <v>#N/A</v>
      </c>
      <c r="F115" t="e">
        <f>IF(B115="yes",VLOOKUP(A115,'FAO crop mapping'!$A$22:$H$60,4,FALSE), "")</f>
        <v>#N/A</v>
      </c>
      <c r="G115" t="e">
        <f>IF(B115="yes",VLOOKUP(A115,'FAO crop mapping'!$A$22:$H$60,5,FALSE), "")</f>
        <v>#N/A</v>
      </c>
      <c r="H115" t="str">
        <f>IF(B116="yes",VLOOKUP(A116,'FAO crop mapping'!$A$22:$H$60,6,FALSE), "")</f>
        <v/>
      </c>
      <c r="I115" t="str">
        <f>IF(B116="yes",VLOOKUP(A116,'FAO crop mapping'!$A$22:$H$60,7,FALSE), "")</f>
        <v/>
      </c>
      <c r="J115" t="str">
        <f>IF(B116="yes",VLOOKUP(A116,'FAO crop mapping'!$A$22:$H$60,8,FALSE), "")</f>
        <v/>
      </c>
    </row>
    <row r="116" spans="1:10" x14ac:dyDescent="0.25">
      <c r="A116" t="s">
        <v>187</v>
      </c>
      <c r="B116" t="s">
        <v>80</v>
      </c>
      <c r="C116" t="s">
        <v>80</v>
      </c>
      <c r="D116" t="str">
        <f>IF(B116="yes",VLOOKUP(A116,'FAO crop mapping'!$A$22:$H$60,2,FALSE), "")</f>
        <v/>
      </c>
      <c r="E116" t="str">
        <f>IF(B116="yes",VLOOKUP(A116,'FAO crop mapping'!$A$22:$H$60,3,FALSE), "")</f>
        <v/>
      </c>
      <c r="F116" t="str">
        <f>IF(B116="yes",VLOOKUP(A116,'FAO crop mapping'!$A$22:$H$60,4,FALSE), "")</f>
        <v/>
      </c>
      <c r="G116" t="str">
        <f>IF(B116="yes",VLOOKUP(A116,'FAO crop mapping'!$A$22:$H$60,5,FALSE), "")</f>
        <v/>
      </c>
      <c r="H116" t="e">
        <f>IF(B117="yes",VLOOKUP(A117,'FAO crop mapping'!$A$22:$H$60,6,FALSE), "")</f>
        <v>#N/A</v>
      </c>
      <c r="I116" t="e">
        <f>IF(B117="yes",VLOOKUP(A117,'FAO crop mapping'!$A$22:$H$60,7,FALSE), "")</f>
        <v>#N/A</v>
      </c>
      <c r="J116" t="e">
        <f>IF(B117="yes",VLOOKUP(A117,'FAO crop mapping'!$A$22:$H$60,8,FALSE), "")</f>
        <v>#N/A</v>
      </c>
    </row>
    <row r="117" spans="1:10" x14ac:dyDescent="0.25">
      <c r="A117" t="s">
        <v>188</v>
      </c>
      <c r="B117" t="s">
        <v>79</v>
      </c>
      <c r="C117" t="s">
        <v>80</v>
      </c>
      <c r="D117" t="e">
        <f>IF(B117="yes",VLOOKUP(A117,'FAO crop mapping'!$A$22:$H$60,2,FALSE), "")</f>
        <v>#N/A</v>
      </c>
      <c r="E117" t="e">
        <f>IF(B117="yes",VLOOKUP(A117,'FAO crop mapping'!$A$22:$H$60,3,FALSE), "")</f>
        <v>#N/A</v>
      </c>
      <c r="F117" t="e">
        <f>IF(B117="yes",VLOOKUP(A117,'FAO crop mapping'!$A$22:$H$60,4,FALSE), "")</f>
        <v>#N/A</v>
      </c>
      <c r="G117" t="e">
        <f>IF(B117="yes",VLOOKUP(A117,'FAO crop mapping'!$A$22:$H$60,5,FALSE), "")</f>
        <v>#N/A</v>
      </c>
      <c r="H117" t="str">
        <f>IF(B118="yes",VLOOKUP(A118,'FAO crop mapping'!$A$22:$H$60,6,FALSE), "")</f>
        <v/>
      </c>
      <c r="I117" t="str">
        <f>IF(B118="yes",VLOOKUP(A118,'FAO crop mapping'!$A$22:$H$60,7,FALSE), "")</f>
        <v/>
      </c>
      <c r="J117" t="str">
        <f>IF(B118="yes",VLOOKUP(A118,'FAO crop mapping'!$A$22:$H$60,8,FALSE), "")</f>
        <v/>
      </c>
    </row>
    <row r="118" spans="1:10" x14ac:dyDescent="0.25">
      <c r="A118" t="s">
        <v>189</v>
      </c>
      <c r="B118" t="s">
        <v>80</v>
      </c>
      <c r="C118" t="s">
        <v>80</v>
      </c>
      <c r="D118" t="str">
        <f>IF(B118="yes",VLOOKUP(A118,'FAO crop mapping'!$A$22:$H$60,2,FALSE), "")</f>
        <v/>
      </c>
      <c r="E118" t="str">
        <f>IF(B118="yes",VLOOKUP(A118,'FAO crop mapping'!$A$22:$H$60,3,FALSE), "")</f>
        <v/>
      </c>
      <c r="F118" t="str">
        <f>IF(B118="yes",VLOOKUP(A118,'FAO crop mapping'!$A$22:$H$60,4,FALSE), "")</f>
        <v/>
      </c>
      <c r="G118" t="str">
        <f>IF(B118="yes",VLOOKUP(A118,'FAO crop mapping'!$A$22:$H$60,5,FALSE), "")</f>
        <v/>
      </c>
      <c r="H118" t="e">
        <f>IF(B119="yes",VLOOKUP(A119,'FAO crop mapping'!$A$22:$H$60,6,FALSE), "")</f>
        <v>#N/A</v>
      </c>
      <c r="I118" t="e">
        <f>IF(B119="yes",VLOOKUP(A119,'FAO crop mapping'!$A$22:$H$60,7,FALSE), "")</f>
        <v>#N/A</v>
      </c>
      <c r="J118" t="e">
        <f>IF(B119="yes",VLOOKUP(A119,'FAO crop mapping'!$A$22:$H$60,8,FALSE), "")</f>
        <v>#N/A</v>
      </c>
    </row>
    <row r="119" spans="1:10" x14ac:dyDescent="0.25">
      <c r="A119" t="s">
        <v>190</v>
      </c>
      <c r="B119" t="s">
        <v>79</v>
      </c>
      <c r="C119" t="s">
        <v>80</v>
      </c>
      <c r="D119" t="e">
        <f>IF(B119="yes",VLOOKUP(A119,'FAO crop mapping'!$A$22:$H$60,2,FALSE), "")</f>
        <v>#N/A</v>
      </c>
      <c r="E119" t="e">
        <f>IF(B119="yes",VLOOKUP(A119,'FAO crop mapping'!$A$22:$H$60,3,FALSE), "")</f>
        <v>#N/A</v>
      </c>
      <c r="F119" t="e">
        <f>IF(B119="yes",VLOOKUP(A119,'FAO crop mapping'!$A$22:$H$60,4,FALSE), "")</f>
        <v>#N/A</v>
      </c>
      <c r="G119" t="e">
        <f>IF(B119="yes",VLOOKUP(A119,'FAO crop mapping'!$A$22:$H$60,5,FALSE), "")</f>
        <v>#N/A</v>
      </c>
      <c r="H119" t="e">
        <f>IF(B120="yes",VLOOKUP(A120,'FAO crop mapping'!$A$22:$H$60,6,FALSE), "")</f>
        <v>#N/A</v>
      </c>
      <c r="I119" t="e">
        <f>IF(B120="yes",VLOOKUP(A120,'FAO crop mapping'!$A$22:$H$60,7,FALSE), "")</f>
        <v>#N/A</v>
      </c>
      <c r="J119" t="e">
        <f>IF(B120="yes",VLOOKUP(A120,'FAO crop mapping'!$A$22:$H$60,8,FALSE), "")</f>
        <v>#N/A</v>
      </c>
    </row>
    <row r="120" spans="1:10" x14ac:dyDescent="0.25">
      <c r="A120" t="s">
        <v>191</v>
      </c>
      <c r="B120" t="s">
        <v>79</v>
      </c>
      <c r="C120" t="s">
        <v>80</v>
      </c>
      <c r="D120" t="e">
        <f>IF(B120="yes",VLOOKUP(A120,'FAO crop mapping'!$A$22:$H$60,2,FALSE), "")</f>
        <v>#N/A</v>
      </c>
      <c r="E120" t="e">
        <f>IF(B120="yes",VLOOKUP(A120,'FAO crop mapping'!$A$22:$H$60,3,FALSE), "")</f>
        <v>#N/A</v>
      </c>
      <c r="F120" t="e">
        <f>IF(B120="yes",VLOOKUP(A120,'FAO crop mapping'!$A$22:$H$60,4,FALSE), "")</f>
        <v>#N/A</v>
      </c>
      <c r="G120" t="e">
        <f>IF(B120="yes",VLOOKUP(A120,'FAO crop mapping'!$A$22:$H$60,5,FALSE), "")</f>
        <v>#N/A</v>
      </c>
      <c r="H120" t="e">
        <f>IF(B121="yes",VLOOKUP(A121,'FAO crop mapping'!$A$22:$H$60,6,FALSE), "")</f>
        <v>#N/A</v>
      </c>
      <c r="I120" t="e">
        <f>IF(B121="yes",VLOOKUP(A121,'FAO crop mapping'!$A$22:$H$60,7,FALSE), "")</f>
        <v>#N/A</v>
      </c>
      <c r="J120" t="e">
        <f>IF(B121="yes",VLOOKUP(A121,'FAO crop mapping'!$A$22:$H$60,8,FALSE), "")</f>
        <v>#N/A</v>
      </c>
    </row>
    <row r="121" spans="1:10" x14ac:dyDescent="0.25">
      <c r="A121" t="s">
        <v>192</v>
      </c>
      <c r="B121" t="s">
        <v>79</v>
      </c>
      <c r="C121" t="s">
        <v>79</v>
      </c>
      <c r="D121" t="e">
        <f>IF(B121="yes",VLOOKUP(A121,'FAO crop mapping'!$A$22:$H$60,2,FALSE), "")</f>
        <v>#N/A</v>
      </c>
      <c r="E121" t="e">
        <f>IF(B121="yes",VLOOKUP(A121,'FAO crop mapping'!$A$22:$H$60,3,FALSE), "")</f>
        <v>#N/A</v>
      </c>
      <c r="F121" t="e">
        <f>IF(B121="yes",VLOOKUP(A121,'FAO crop mapping'!$A$22:$H$60,4,FALSE), "")</f>
        <v>#N/A</v>
      </c>
      <c r="G121" t="e">
        <f>IF(B121="yes",VLOOKUP(A121,'FAO crop mapping'!$A$22:$H$60,5,FALSE), "")</f>
        <v>#N/A</v>
      </c>
      <c r="H121" t="e">
        <f>IF(B122="yes",VLOOKUP(A122,'FAO crop mapping'!$A$22:$H$60,6,FALSE), "")</f>
        <v>#N/A</v>
      </c>
      <c r="I121" t="e">
        <f>IF(B122="yes",VLOOKUP(A122,'FAO crop mapping'!$A$22:$H$60,7,FALSE), "")</f>
        <v>#N/A</v>
      </c>
      <c r="J121" t="e">
        <f>IF(B122="yes",VLOOKUP(A122,'FAO crop mapping'!$A$22:$H$60,8,FALSE), "")</f>
        <v>#N/A</v>
      </c>
    </row>
    <row r="122" spans="1:10" x14ac:dyDescent="0.25">
      <c r="A122" t="s">
        <v>193</v>
      </c>
      <c r="B122" t="s">
        <v>79</v>
      </c>
      <c r="C122" t="s">
        <v>79</v>
      </c>
      <c r="D122" t="e">
        <f>IF(B122="yes",VLOOKUP(A122,'FAO crop mapping'!$A$22:$H$60,2,FALSE), "")</f>
        <v>#N/A</v>
      </c>
      <c r="E122" t="e">
        <f>IF(B122="yes",VLOOKUP(A122,'FAO crop mapping'!$A$22:$H$60,3,FALSE), "")</f>
        <v>#N/A</v>
      </c>
      <c r="F122" t="e">
        <f>IF(B122="yes",VLOOKUP(A122,'FAO crop mapping'!$A$22:$H$60,4,FALSE), "")</f>
        <v>#N/A</v>
      </c>
      <c r="G122" t="e">
        <f>IF(B122="yes",VLOOKUP(A122,'FAO crop mapping'!$A$22:$H$60,5,FALSE), "")</f>
        <v>#N/A</v>
      </c>
      <c r="H122" t="e">
        <f>IF(B123="yes",VLOOKUP(A123,'FAO crop mapping'!$A$22:$H$60,6,FALSE), "")</f>
        <v>#N/A</v>
      </c>
      <c r="I122" t="e">
        <f>IF(B123="yes",VLOOKUP(A123,'FAO crop mapping'!$A$22:$H$60,7,FALSE), "")</f>
        <v>#N/A</v>
      </c>
      <c r="J122" t="e">
        <f>IF(B123="yes",VLOOKUP(A123,'FAO crop mapping'!$A$22:$H$60,8,FALSE), "")</f>
        <v>#N/A</v>
      </c>
    </row>
    <row r="123" spans="1:10" x14ac:dyDescent="0.25">
      <c r="A123" t="s">
        <v>194</v>
      </c>
      <c r="B123" t="s">
        <v>79</v>
      </c>
      <c r="C123" t="s">
        <v>79</v>
      </c>
      <c r="D123" t="e">
        <f>IF(B123="yes",VLOOKUP(A123,'FAO crop mapping'!$A$22:$H$60,2,FALSE), "")</f>
        <v>#N/A</v>
      </c>
      <c r="E123" t="e">
        <f>IF(B123="yes",VLOOKUP(A123,'FAO crop mapping'!$A$22:$H$60,3,FALSE), "")</f>
        <v>#N/A</v>
      </c>
      <c r="F123" t="e">
        <f>IF(B123="yes",VLOOKUP(A123,'FAO crop mapping'!$A$22:$H$60,4,FALSE), "")</f>
        <v>#N/A</v>
      </c>
      <c r="G123" t="e">
        <f>IF(B123="yes",VLOOKUP(A123,'FAO crop mapping'!$A$22:$H$60,5,FALSE), "")</f>
        <v>#N/A</v>
      </c>
      <c r="H123" t="e">
        <f>IF(B124="yes",VLOOKUP(A124,'FAO crop mapping'!$A$22:$H$60,6,FALSE), "")</f>
        <v>#N/A</v>
      </c>
      <c r="I123" t="e">
        <f>IF(B124="yes",VLOOKUP(A124,'FAO crop mapping'!$A$22:$H$60,7,FALSE), "")</f>
        <v>#N/A</v>
      </c>
      <c r="J123" t="e">
        <f>IF(B124="yes",VLOOKUP(A124,'FAO crop mapping'!$A$22:$H$60,8,FALSE), "")</f>
        <v>#N/A</v>
      </c>
    </row>
    <row r="124" spans="1:10" x14ac:dyDescent="0.25">
      <c r="A124" t="s">
        <v>195</v>
      </c>
      <c r="B124" t="s">
        <v>79</v>
      </c>
      <c r="C124" t="s">
        <v>79</v>
      </c>
      <c r="D124" t="e">
        <f>IF(B124="yes",VLOOKUP(A124,'FAO crop mapping'!$A$22:$H$60,2,FALSE), "")</f>
        <v>#N/A</v>
      </c>
      <c r="E124" t="e">
        <f>IF(B124="yes",VLOOKUP(A124,'FAO crop mapping'!$A$22:$H$60,3,FALSE), "")</f>
        <v>#N/A</v>
      </c>
      <c r="F124" t="e">
        <f>IF(B124="yes",VLOOKUP(A124,'FAO crop mapping'!$A$22:$H$60,4,FALSE), "")</f>
        <v>#N/A</v>
      </c>
      <c r="G124" t="e">
        <f>IF(B124="yes",VLOOKUP(A124,'FAO crop mapping'!$A$22:$H$60,5,FALSE), "")</f>
        <v>#N/A</v>
      </c>
      <c r="H124" t="e">
        <f>IF(B125="yes",VLOOKUP(A125,'FAO crop mapping'!$A$22:$H$60,6,FALSE), "")</f>
        <v>#N/A</v>
      </c>
      <c r="I124" t="e">
        <f>IF(B125="yes",VLOOKUP(A125,'FAO crop mapping'!$A$22:$H$60,7,FALSE), "")</f>
        <v>#N/A</v>
      </c>
      <c r="J124" t="e">
        <f>IF(B125="yes",VLOOKUP(A125,'FAO crop mapping'!$A$22:$H$60,8,FALSE), "")</f>
        <v>#N/A</v>
      </c>
    </row>
    <row r="125" spans="1:10" x14ac:dyDescent="0.25">
      <c r="A125" t="s">
        <v>196</v>
      </c>
      <c r="B125" t="s">
        <v>79</v>
      </c>
      <c r="C125" t="s">
        <v>79</v>
      </c>
      <c r="D125" t="e">
        <f>IF(B125="yes",VLOOKUP(A125,'FAO crop mapping'!$A$22:$H$60,2,FALSE), "")</f>
        <v>#N/A</v>
      </c>
      <c r="E125" t="e">
        <f>IF(B125="yes",VLOOKUP(A125,'FAO crop mapping'!$A$22:$H$60,3,FALSE), "")</f>
        <v>#N/A</v>
      </c>
      <c r="F125" t="e">
        <f>IF(B125="yes",VLOOKUP(A125,'FAO crop mapping'!$A$22:$H$60,4,FALSE), "")</f>
        <v>#N/A</v>
      </c>
      <c r="G125" t="e">
        <f>IF(B125="yes",VLOOKUP(A125,'FAO crop mapping'!$A$22:$H$60,5,FALSE), "")</f>
        <v>#N/A</v>
      </c>
      <c r="H125" t="e">
        <f>IF(B126="yes",VLOOKUP(A126,'FAO crop mapping'!$A$22:$H$60,6,FALSE), "")</f>
        <v>#N/A</v>
      </c>
      <c r="I125" t="e">
        <f>IF(B126="yes",VLOOKUP(A126,'FAO crop mapping'!$A$22:$H$60,7,FALSE), "")</f>
        <v>#N/A</v>
      </c>
      <c r="J125" t="e">
        <f>IF(B126="yes",VLOOKUP(A126,'FAO crop mapping'!$A$22:$H$60,8,FALSE), "")</f>
        <v>#N/A</v>
      </c>
    </row>
    <row r="126" spans="1:10" x14ac:dyDescent="0.25">
      <c r="A126" t="s">
        <v>197</v>
      </c>
      <c r="B126" t="s">
        <v>79</v>
      </c>
      <c r="C126" t="s">
        <v>79</v>
      </c>
      <c r="D126" t="e">
        <f>IF(B126="yes",VLOOKUP(A126,'FAO crop mapping'!$A$22:$H$60,2,FALSE), "")</f>
        <v>#N/A</v>
      </c>
      <c r="E126" t="e">
        <f>IF(B126="yes",VLOOKUP(A126,'FAO crop mapping'!$A$22:$H$60,3,FALSE), "")</f>
        <v>#N/A</v>
      </c>
      <c r="F126" t="e">
        <f>IF(B126="yes",VLOOKUP(A126,'FAO crop mapping'!$A$22:$H$60,4,FALSE), "")</f>
        <v>#N/A</v>
      </c>
      <c r="G126" t="e">
        <f>IF(B126="yes",VLOOKUP(A126,'FAO crop mapping'!$A$22:$H$60,5,FALSE), "")</f>
        <v>#N/A</v>
      </c>
      <c r="H126" t="e">
        <f>IF(B127="yes",VLOOKUP(A127,'FAO crop mapping'!$A$22:$H$60,6,FALSE), "")</f>
        <v>#N/A</v>
      </c>
      <c r="I126" t="e">
        <f>IF(B127="yes",VLOOKUP(A127,'FAO crop mapping'!$A$22:$H$60,7,FALSE), "")</f>
        <v>#N/A</v>
      </c>
      <c r="J126" t="e">
        <f>IF(B127="yes",VLOOKUP(A127,'FAO crop mapping'!$A$22:$H$60,8,FALSE), "")</f>
        <v>#N/A</v>
      </c>
    </row>
    <row r="127" spans="1:10" x14ac:dyDescent="0.25">
      <c r="A127" t="s">
        <v>198</v>
      </c>
      <c r="B127" t="s">
        <v>79</v>
      </c>
      <c r="C127" t="s">
        <v>79</v>
      </c>
      <c r="D127" t="e">
        <f>IF(B127="yes",VLOOKUP(A127,'FAO crop mapping'!$A$22:$H$60,2,FALSE), "")</f>
        <v>#N/A</v>
      </c>
      <c r="E127" t="e">
        <f>IF(B127="yes",VLOOKUP(A127,'FAO crop mapping'!$A$22:$H$60,3,FALSE), "")</f>
        <v>#N/A</v>
      </c>
      <c r="F127" t="e">
        <f>IF(B127="yes",VLOOKUP(A127,'FAO crop mapping'!$A$22:$H$60,4,FALSE), "")</f>
        <v>#N/A</v>
      </c>
      <c r="G127" t="e">
        <f>IF(B127="yes",VLOOKUP(A127,'FAO crop mapping'!$A$22:$H$60,5,FALSE), "")</f>
        <v>#N/A</v>
      </c>
      <c r="H127" t="e">
        <f>IF(B128="yes",VLOOKUP(A128,'FAO crop mapping'!$A$22:$H$60,6,FALSE), "")</f>
        <v>#N/A</v>
      </c>
      <c r="I127" t="e">
        <f>IF(B128="yes",VLOOKUP(A128,'FAO crop mapping'!$A$22:$H$60,7,FALSE), "")</f>
        <v>#N/A</v>
      </c>
      <c r="J127" t="e">
        <f>IF(B128="yes",VLOOKUP(A128,'FAO crop mapping'!$A$22:$H$60,8,FALSE), "")</f>
        <v>#N/A</v>
      </c>
    </row>
    <row r="128" spans="1:10" x14ac:dyDescent="0.25">
      <c r="A128" t="s">
        <v>199</v>
      </c>
      <c r="B128" t="s">
        <v>79</v>
      </c>
      <c r="C128" t="s">
        <v>79</v>
      </c>
      <c r="D128" t="e">
        <f>IF(B128="yes",VLOOKUP(A128,'FAO crop mapping'!$A$22:$H$60,2,FALSE), "")</f>
        <v>#N/A</v>
      </c>
      <c r="E128" t="e">
        <f>IF(B128="yes",VLOOKUP(A128,'FAO crop mapping'!$A$22:$H$60,3,FALSE), "")</f>
        <v>#N/A</v>
      </c>
      <c r="F128" t="e">
        <f>IF(B128="yes",VLOOKUP(A128,'FAO crop mapping'!$A$22:$H$60,4,FALSE), "")</f>
        <v>#N/A</v>
      </c>
      <c r="G128" t="e">
        <f>IF(B128="yes",VLOOKUP(A128,'FAO crop mapping'!$A$22:$H$60,5,FALSE), "")</f>
        <v>#N/A</v>
      </c>
      <c r="H128" t="e">
        <f>IF(B129="yes",VLOOKUP(A129,'FAO crop mapping'!$A$22:$H$60,6,FALSE), "")</f>
        <v>#N/A</v>
      </c>
      <c r="I128" t="e">
        <f>IF(B129="yes",VLOOKUP(A129,'FAO crop mapping'!$A$22:$H$60,7,FALSE), "")</f>
        <v>#N/A</v>
      </c>
      <c r="J128" t="e">
        <f>IF(B129="yes",VLOOKUP(A129,'FAO crop mapping'!$A$22:$H$60,8,FALSE), "")</f>
        <v>#N/A</v>
      </c>
    </row>
    <row r="129" spans="1:10" x14ac:dyDescent="0.25">
      <c r="A129" t="s">
        <v>200</v>
      </c>
      <c r="B129" t="s">
        <v>79</v>
      </c>
      <c r="C129" t="s">
        <v>79</v>
      </c>
      <c r="D129" t="e">
        <f>IF(B129="yes",VLOOKUP(A129,'FAO crop mapping'!$A$22:$H$60,2,FALSE), "")</f>
        <v>#N/A</v>
      </c>
      <c r="E129" t="e">
        <f>IF(B129="yes",VLOOKUP(A129,'FAO crop mapping'!$A$22:$H$60,3,FALSE), "")</f>
        <v>#N/A</v>
      </c>
      <c r="F129" t="e">
        <f>IF(B129="yes",VLOOKUP(A129,'FAO crop mapping'!$A$22:$H$60,4,FALSE), "")</f>
        <v>#N/A</v>
      </c>
      <c r="G129" t="e">
        <f>IF(B129="yes",VLOOKUP(A129,'FAO crop mapping'!$A$22:$H$60,5,FALSE), "")</f>
        <v>#N/A</v>
      </c>
      <c r="H129" t="str">
        <f>IF(B130="yes",VLOOKUP(A130,'FAO crop mapping'!$A$22:$H$60,6,FALSE), "")</f>
        <v/>
      </c>
      <c r="I129" t="str">
        <f>IF(B130="yes",VLOOKUP(A130,'FAO crop mapping'!$A$22:$H$60,7,FALSE), "")</f>
        <v/>
      </c>
      <c r="J129" t="str">
        <f>IF(B130="yes",VLOOKUP(A130,'FAO crop mapping'!$A$22:$H$60,8,FALSE), "")</f>
        <v/>
      </c>
    </row>
    <row r="130" spans="1:10" x14ac:dyDescent="0.25">
      <c r="A130" t="s">
        <v>201</v>
      </c>
      <c r="B130" t="s">
        <v>80</v>
      </c>
      <c r="C130" t="s">
        <v>80</v>
      </c>
      <c r="D130" t="str">
        <f>IF(B130="yes",VLOOKUP(A130,'FAO crop mapping'!$A$22:$H$60,2,FALSE), "")</f>
        <v/>
      </c>
      <c r="E130" t="str">
        <f>IF(B130="yes",VLOOKUP(A130,'FAO crop mapping'!$A$22:$H$60,3,FALSE), "")</f>
        <v/>
      </c>
      <c r="F130" t="str">
        <f>IF(B130="yes",VLOOKUP(A130,'FAO crop mapping'!$A$22:$H$60,4,FALSE), "")</f>
        <v/>
      </c>
      <c r="G130" t="str">
        <f>IF(B130="yes",VLOOKUP(A130,'FAO crop mapping'!$A$22:$H$60,5,FALSE), "")</f>
        <v/>
      </c>
      <c r="H130" t="str">
        <f>IF(B131="yes",VLOOKUP(A131,'FAO crop mapping'!$A$22:$H$60,6,FALSE), "")</f>
        <v/>
      </c>
      <c r="I130" t="str">
        <f>IF(B131="yes",VLOOKUP(A131,'FAO crop mapping'!$A$22:$H$60,7,FALSE), "")</f>
        <v/>
      </c>
      <c r="J130" t="str">
        <f>IF(B131="yes",VLOOKUP(A131,'FAO crop mapping'!$A$22:$H$60,8,FALSE), "")</f>
        <v/>
      </c>
    </row>
    <row r="131" spans="1:10" x14ac:dyDescent="0.25">
      <c r="A131" t="s">
        <v>202</v>
      </c>
      <c r="B131" t="s">
        <v>80</v>
      </c>
      <c r="C131" t="s">
        <v>80</v>
      </c>
      <c r="D131" t="str">
        <f>IF(B131="yes",VLOOKUP(A131,'FAO crop mapping'!$A$22:$H$60,2,FALSE), "")</f>
        <v/>
      </c>
      <c r="E131" t="str">
        <f>IF(B131="yes",VLOOKUP(A131,'FAO crop mapping'!$A$22:$H$60,3,FALSE), "")</f>
        <v/>
      </c>
      <c r="F131" t="str">
        <f>IF(B131="yes",VLOOKUP(A131,'FAO crop mapping'!$A$22:$H$60,4,FALSE), "")</f>
        <v/>
      </c>
      <c r="G131" t="str">
        <f>IF(B131="yes",VLOOKUP(A131,'FAO crop mapping'!$A$22:$H$60,5,FALSE), "")</f>
        <v/>
      </c>
      <c r="H131" t="str">
        <f>IF(B132="yes",VLOOKUP(A132,'FAO crop mapping'!$A$22:$H$60,6,FALSE), "")</f>
        <v/>
      </c>
      <c r="I131" t="str">
        <f>IF(B132="yes",VLOOKUP(A132,'FAO crop mapping'!$A$22:$H$60,7,FALSE), "")</f>
        <v/>
      </c>
      <c r="J131" t="str">
        <f>IF(B132="yes",VLOOKUP(A132,'FAO crop mapping'!$A$22:$H$60,8,FALSE), "")</f>
        <v/>
      </c>
    </row>
    <row r="132" spans="1:10" x14ac:dyDescent="0.25">
      <c r="A132" t="s">
        <v>203</v>
      </c>
      <c r="B132" t="s">
        <v>80</v>
      </c>
      <c r="C132" t="s">
        <v>80</v>
      </c>
      <c r="D132" t="str">
        <f>IF(B132="yes",VLOOKUP(A132,'FAO crop mapping'!$A$22:$H$60,2,FALSE), "")</f>
        <v/>
      </c>
      <c r="E132" t="str">
        <f>IF(B132="yes",VLOOKUP(A132,'FAO crop mapping'!$A$22:$H$60,3,FALSE), "")</f>
        <v/>
      </c>
      <c r="F132" t="str">
        <f>IF(B132="yes",VLOOKUP(A132,'FAO crop mapping'!$A$22:$H$60,4,FALSE), "")</f>
        <v/>
      </c>
      <c r="G132" t="str">
        <f>IF(B132="yes",VLOOKUP(A132,'FAO crop mapping'!$A$22:$H$60,5,FALSE), "")</f>
        <v/>
      </c>
      <c r="H132" t="str">
        <f>IF(B133="yes",VLOOKUP(A133,'FAO crop mapping'!$A$22:$H$60,6,FALSE), "")</f>
        <v/>
      </c>
      <c r="I132" t="str">
        <f>IF(B133="yes",VLOOKUP(A133,'FAO crop mapping'!$A$22:$H$60,7,FALSE), "")</f>
        <v/>
      </c>
      <c r="J132" t="str">
        <f>IF(B133="yes",VLOOKUP(A133,'FAO crop mapping'!$A$22:$H$60,8,FALSE), "")</f>
        <v/>
      </c>
    </row>
    <row r="133" spans="1:10" x14ac:dyDescent="0.25">
      <c r="A133" t="s">
        <v>204</v>
      </c>
      <c r="B133" t="s">
        <v>80</v>
      </c>
      <c r="C133" t="s">
        <v>80</v>
      </c>
      <c r="D133" t="str">
        <f>IF(B133="yes",VLOOKUP(A133,'FAO crop mapping'!$A$22:$H$60,2,FALSE), "")</f>
        <v/>
      </c>
      <c r="E133" t="str">
        <f>IF(B133="yes",VLOOKUP(A133,'FAO crop mapping'!$A$22:$H$60,3,FALSE), "")</f>
        <v/>
      </c>
      <c r="F133" t="str">
        <f>IF(B133="yes",VLOOKUP(A133,'FAO crop mapping'!$A$22:$H$60,4,FALSE), "")</f>
        <v/>
      </c>
      <c r="G133" t="str">
        <f>IF(B133="yes",VLOOKUP(A133,'FAO crop mapping'!$A$22:$H$60,5,FALSE), "")</f>
        <v/>
      </c>
      <c r="H133" t="str">
        <f>IF(B134="yes",VLOOKUP(A134,'FAO crop mapping'!$A$22:$H$60,6,FALSE), "")</f>
        <v/>
      </c>
      <c r="I133" t="str">
        <f>IF(B134="yes",VLOOKUP(A134,'FAO crop mapping'!$A$22:$H$60,7,FALSE), "")</f>
        <v/>
      </c>
      <c r="J133" t="str">
        <f>IF(B134="yes",VLOOKUP(A134,'FAO crop mapping'!$A$22:$H$60,8,FALSE), "")</f>
        <v/>
      </c>
    </row>
    <row r="134" spans="1:10" x14ac:dyDescent="0.25">
      <c r="A134" t="s">
        <v>205</v>
      </c>
      <c r="B134" t="s">
        <v>80</v>
      </c>
      <c r="C134" t="s">
        <v>80</v>
      </c>
      <c r="D134" t="str">
        <f>IF(B134="yes",VLOOKUP(A134,'FAO crop mapping'!$A$22:$H$60,2,FALSE), "")</f>
        <v/>
      </c>
      <c r="E134" t="str">
        <f>IF(B134="yes",VLOOKUP(A134,'FAO crop mapping'!$A$22:$H$60,3,FALSE), "")</f>
        <v/>
      </c>
      <c r="F134" t="str">
        <f>IF(B134="yes",VLOOKUP(A134,'FAO crop mapping'!$A$22:$H$60,4,FALSE), "")</f>
        <v/>
      </c>
      <c r="G134" t="str">
        <f>IF(B134="yes",VLOOKUP(A134,'FAO crop mapping'!$A$22:$H$60,5,FALSE), "")</f>
        <v/>
      </c>
      <c r="H134" t="str">
        <f>IF(B135="yes",VLOOKUP(A135,'FAO crop mapping'!$A$22:$H$60,6,FALSE), "")</f>
        <v/>
      </c>
      <c r="I134" t="str">
        <f>IF(B135="yes",VLOOKUP(A135,'FAO crop mapping'!$A$22:$H$60,7,FALSE), "")</f>
        <v/>
      </c>
      <c r="J134" t="str">
        <f>IF(B135="yes",VLOOKUP(A135,'FAO crop mapping'!$A$22:$H$60,8,FALSE), "")</f>
        <v/>
      </c>
    </row>
    <row r="135" spans="1:10" x14ac:dyDescent="0.25">
      <c r="A135" t="s">
        <v>206</v>
      </c>
      <c r="B135" t="s">
        <v>80</v>
      </c>
      <c r="C135" t="s">
        <v>80</v>
      </c>
      <c r="D135" t="str">
        <f>IF(B135="yes",VLOOKUP(A135,'FAO crop mapping'!$A$22:$H$60,2,FALSE), "")</f>
        <v/>
      </c>
      <c r="E135" t="str">
        <f>IF(B135="yes",VLOOKUP(A135,'FAO crop mapping'!$A$22:$H$60,3,FALSE), "")</f>
        <v/>
      </c>
      <c r="F135" t="str">
        <f>IF(B135="yes",VLOOKUP(A135,'FAO crop mapping'!$A$22:$H$60,4,FALSE), "")</f>
        <v/>
      </c>
      <c r="G135" t="str">
        <f>IF(B135="yes",VLOOKUP(A135,'FAO crop mapping'!$A$22:$H$60,5,FALSE), "")</f>
        <v/>
      </c>
      <c r="H135" t="str">
        <f>IF(B136="yes",VLOOKUP(A136,'FAO crop mapping'!$A$22:$H$60,6,FALSE), "")</f>
        <v/>
      </c>
      <c r="I135" t="str">
        <f>IF(B136="yes",VLOOKUP(A136,'FAO crop mapping'!$A$22:$H$60,7,FALSE), "")</f>
        <v/>
      </c>
      <c r="J135" t="str">
        <f>IF(B136="yes",VLOOKUP(A136,'FAO crop mapping'!$A$22:$H$60,8,FALSE), "")</f>
        <v/>
      </c>
    </row>
    <row r="136" spans="1:10" x14ac:dyDescent="0.25">
      <c r="A136" t="s">
        <v>207</v>
      </c>
      <c r="B136" t="s">
        <v>80</v>
      </c>
      <c r="C136" t="s">
        <v>80</v>
      </c>
      <c r="D136" t="str">
        <f>IF(B136="yes",VLOOKUP(A136,'FAO crop mapping'!$A$22:$H$60,2,FALSE), "")</f>
        <v/>
      </c>
      <c r="E136" t="str">
        <f>IF(B136="yes",VLOOKUP(A136,'FAO crop mapping'!$A$22:$H$60,3,FALSE), "")</f>
        <v/>
      </c>
      <c r="F136" t="str">
        <f>IF(B136="yes",VLOOKUP(A136,'FAO crop mapping'!$A$22:$H$60,4,FALSE), "")</f>
        <v/>
      </c>
      <c r="G136" t="str">
        <f>IF(B136="yes",VLOOKUP(A136,'FAO crop mapping'!$A$22:$H$60,5,FALSE), "")</f>
        <v/>
      </c>
      <c r="H136" t="str">
        <f>IF(B137="yes",VLOOKUP(A137,'FAO crop mapping'!$A$22:$H$60,6,FALSE), "")</f>
        <v/>
      </c>
      <c r="I136" t="str">
        <f>IF(B137="yes",VLOOKUP(A137,'FAO crop mapping'!$A$22:$H$60,7,FALSE), "")</f>
        <v/>
      </c>
      <c r="J136" t="str">
        <f>IF(B137="yes",VLOOKUP(A137,'FAO crop mapping'!$A$22:$H$60,8,FALSE), "")</f>
        <v/>
      </c>
    </row>
    <row r="137" spans="1:10" x14ac:dyDescent="0.25">
      <c r="A137" t="s">
        <v>208</v>
      </c>
      <c r="B137" t="s">
        <v>80</v>
      </c>
      <c r="C137" t="s">
        <v>80</v>
      </c>
      <c r="D137" t="str">
        <f>IF(B137="yes",VLOOKUP(A137,'FAO crop mapping'!$A$22:$H$60,2,FALSE), "")</f>
        <v/>
      </c>
      <c r="E137" t="str">
        <f>IF(B137="yes",VLOOKUP(A137,'FAO crop mapping'!$A$22:$H$60,3,FALSE), "")</f>
        <v/>
      </c>
      <c r="F137" t="str">
        <f>IF(B137="yes",VLOOKUP(A137,'FAO crop mapping'!$A$22:$H$60,4,FALSE), "")</f>
        <v/>
      </c>
      <c r="G137" t="str">
        <f>IF(B137="yes",VLOOKUP(A137,'FAO crop mapping'!$A$22:$H$60,5,FALSE), "")</f>
        <v/>
      </c>
      <c r="H137" t="str">
        <f>IF(B138="yes",VLOOKUP(A138,'FAO crop mapping'!$A$22:$H$60,6,FALSE), "")</f>
        <v/>
      </c>
      <c r="I137" t="str">
        <f>IF(B138="yes",VLOOKUP(A138,'FAO crop mapping'!$A$22:$H$60,7,FALSE), "")</f>
        <v/>
      </c>
      <c r="J137" t="str">
        <f>IF(B138="yes",VLOOKUP(A138,'FAO crop mapping'!$A$22:$H$60,8,FALSE), "")</f>
        <v/>
      </c>
    </row>
    <row r="138" spans="1:10" x14ac:dyDescent="0.25">
      <c r="A138" t="s">
        <v>209</v>
      </c>
      <c r="B138" t="s">
        <v>80</v>
      </c>
      <c r="C138" t="s">
        <v>80</v>
      </c>
      <c r="D138" t="str">
        <f>IF(B138="yes",VLOOKUP(A138,'FAO crop mapping'!$A$22:$H$60,2,FALSE), "")</f>
        <v/>
      </c>
      <c r="E138" t="str">
        <f>IF(B138="yes",VLOOKUP(A138,'FAO crop mapping'!$A$22:$H$60,3,FALSE), "")</f>
        <v/>
      </c>
      <c r="F138" t="str">
        <f>IF(B138="yes",VLOOKUP(A138,'FAO crop mapping'!$A$22:$H$60,4,FALSE), "")</f>
        <v/>
      </c>
      <c r="G138" t="str">
        <f>IF(B138="yes",VLOOKUP(A138,'FAO crop mapping'!$A$22:$H$60,5,FALSE), "")</f>
        <v/>
      </c>
      <c r="H138" t="str">
        <f>IF(B139="yes",VLOOKUP(A139,'FAO crop mapping'!$A$22:$H$60,6,FALSE), "")</f>
        <v/>
      </c>
      <c r="I138" t="str">
        <f>IF(B139="yes",VLOOKUP(A139,'FAO crop mapping'!$A$22:$H$60,7,FALSE), "")</f>
        <v/>
      </c>
      <c r="J138" t="str">
        <f>IF(B139="yes",VLOOKUP(A139,'FAO crop mapping'!$A$22:$H$60,8,FALSE), "")</f>
        <v/>
      </c>
    </row>
    <row r="139" spans="1:10" x14ac:dyDescent="0.25">
      <c r="A139" t="s">
        <v>210</v>
      </c>
      <c r="B139" t="s">
        <v>80</v>
      </c>
      <c r="C139" t="s">
        <v>80</v>
      </c>
      <c r="D139" t="str">
        <f>IF(B139="yes",VLOOKUP(A139,'FAO crop mapping'!$A$22:$H$60,2,FALSE), "")</f>
        <v/>
      </c>
      <c r="E139" t="str">
        <f>IF(B139="yes",VLOOKUP(A139,'FAO crop mapping'!$A$22:$H$60,3,FALSE), "")</f>
        <v/>
      </c>
      <c r="F139" t="str">
        <f>IF(B139="yes",VLOOKUP(A139,'FAO crop mapping'!$A$22:$H$60,4,FALSE), "")</f>
        <v/>
      </c>
      <c r="G139" t="str">
        <f>IF(B139="yes",VLOOKUP(A139,'FAO crop mapping'!$A$22:$H$60,5,FALSE), "")</f>
        <v/>
      </c>
      <c r="H139" t="str">
        <f>IF(B140="yes",VLOOKUP(A140,'FAO crop mapping'!$A$22:$H$60,6,FALSE), "")</f>
        <v/>
      </c>
      <c r="I139" t="str">
        <f>IF(B140="yes",VLOOKUP(A140,'FAO crop mapping'!$A$22:$H$60,7,FALSE), "")</f>
        <v/>
      </c>
      <c r="J139" t="str">
        <f>IF(B140="yes",VLOOKUP(A140,'FAO crop mapping'!$A$22:$H$60,8,FALSE), "")</f>
        <v/>
      </c>
    </row>
    <row r="140" spans="1:10" x14ac:dyDescent="0.25">
      <c r="A140" t="s">
        <v>211</v>
      </c>
      <c r="B140" t="s">
        <v>80</v>
      </c>
      <c r="C140" t="s">
        <v>80</v>
      </c>
      <c r="D140" t="str">
        <f>IF(B140="yes",VLOOKUP(A140,'FAO crop mapping'!$A$22:$H$60,2,FALSE), "")</f>
        <v/>
      </c>
      <c r="E140" t="str">
        <f>IF(B140="yes",VLOOKUP(A140,'FAO crop mapping'!$A$22:$H$60,3,FALSE), "")</f>
        <v/>
      </c>
      <c r="F140" t="str">
        <f>IF(B140="yes",VLOOKUP(A140,'FAO crop mapping'!$A$22:$H$60,4,FALSE), "")</f>
        <v/>
      </c>
      <c r="G140" t="str">
        <f>IF(B140="yes",VLOOKUP(A140,'FAO crop mapping'!$A$22:$H$60,5,FALSE), "")</f>
        <v/>
      </c>
      <c r="H140" t="str">
        <f>IF(B141="yes",VLOOKUP(A141,'FAO crop mapping'!$A$22:$H$60,6,FALSE), "")</f>
        <v/>
      </c>
      <c r="I140" t="str">
        <f>IF(B141="yes",VLOOKUP(A141,'FAO crop mapping'!$A$22:$H$60,7,FALSE), "")</f>
        <v/>
      </c>
      <c r="J140" t="str">
        <f>IF(B141="yes",VLOOKUP(A141,'FAO crop mapping'!$A$22:$H$60,8,FALSE), "")</f>
        <v/>
      </c>
    </row>
    <row r="141" spans="1:10" x14ac:dyDescent="0.25">
      <c r="A141" t="s">
        <v>212</v>
      </c>
      <c r="B141" t="s">
        <v>80</v>
      </c>
      <c r="C141" t="s">
        <v>80</v>
      </c>
      <c r="D141" t="str">
        <f>IF(B141="yes",VLOOKUP(A141,'FAO crop mapping'!$A$22:$H$60,2,FALSE), "")</f>
        <v/>
      </c>
      <c r="E141" t="str">
        <f>IF(B141="yes",VLOOKUP(A141,'FAO crop mapping'!$A$22:$H$60,3,FALSE), "")</f>
        <v/>
      </c>
      <c r="F141" t="str">
        <f>IF(B141="yes",VLOOKUP(A141,'FAO crop mapping'!$A$22:$H$60,4,FALSE), "")</f>
        <v/>
      </c>
      <c r="G141" t="str">
        <f>IF(B141="yes",VLOOKUP(A141,'FAO crop mapping'!$A$22:$H$60,5,FALSE), "")</f>
        <v/>
      </c>
      <c r="H141" t="str">
        <f>IF(B142="yes",VLOOKUP(A142,'FAO crop mapping'!$A$22:$H$60,6,FALSE), "")</f>
        <v/>
      </c>
      <c r="I141" t="str">
        <f>IF(B142="yes",VLOOKUP(A142,'FAO crop mapping'!$A$22:$H$60,7,FALSE), "")</f>
        <v/>
      </c>
      <c r="J141" t="str">
        <f>IF(B142="yes",VLOOKUP(A142,'FAO crop mapping'!$A$22:$H$60,8,FALSE), "")</f>
        <v/>
      </c>
    </row>
    <row r="142" spans="1:10" x14ac:dyDescent="0.25">
      <c r="A142" t="s">
        <v>213</v>
      </c>
      <c r="B142" t="s">
        <v>80</v>
      </c>
      <c r="C142" t="s">
        <v>80</v>
      </c>
      <c r="D142" t="str">
        <f>IF(B142="yes",VLOOKUP(A142,'FAO crop mapping'!$A$22:$H$60,2,FALSE), "")</f>
        <v/>
      </c>
      <c r="E142" t="str">
        <f>IF(B142="yes",VLOOKUP(A142,'FAO crop mapping'!$A$22:$H$60,3,FALSE), "")</f>
        <v/>
      </c>
      <c r="F142" t="str">
        <f>IF(B142="yes",VLOOKUP(A142,'FAO crop mapping'!$A$22:$H$60,4,FALSE), "")</f>
        <v/>
      </c>
      <c r="G142" t="str">
        <f>IF(B142="yes",VLOOKUP(A142,'FAO crop mapping'!$A$22:$H$60,5,FALSE), "")</f>
        <v/>
      </c>
      <c r="H142" t="str">
        <f>IF(B143="yes",VLOOKUP(A143,'FAO crop mapping'!$A$22:$H$60,6,FALSE), "")</f>
        <v/>
      </c>
      <c r="I142" t="str">
        <f>IF(B143="yes",VLOOKUP(A143,'FAO crop mapping'!$A$22:$H$60,7,FALSE), "")</f>
        <v/>
      </c>
      <c r="J142" t="str">
        <f>IF(B143="yes",VLOOKUP(A143,'FAO crop mapping'!$A$22:$H$60,8,FALSE), "")</f>
        <v/>
      </c>
    </row>
    <row r="143" spans="1:10" x14ac:dyDescent="0.25">
      <c r="A143" t="s">
        <v>214</v>
      </c>
      <c r="B143" t="s">
        <v>80</v>
      </c>
      <c r="C143" t="s">
        <v>80</v>
      </c>
      <c r="D143" t="str">
        <f>IF(B143="yes",VLOOKUP(A143,'FAO crop mapping'!$A$22:$H$60,2,FALSE), "")</f>
        <v/>
      </c>
      <c r="E143" t="str">
        <f>IF(B143="yes",VLOOKUP(A143,'FAO crop mapping'!$A$22:$H$60,3,FALSE), "")</f>
        <v/>
      </c>
      <c r="F143" t="str">
        <f>IF(B143="yes",VLOOKUP(A143,'FAO crop mapping'!$A$22:$H$60,4,FALSE), "")</f>
        <v/>
      </c>
      <c r="G143" t="str">
        <f>IF(B143="yes",VLOOKUP(A143,'FAO crop mapping'!$A$22:$H$60,5,FALSE), "")</f>
        <v/>
      </c>
      <c r="H143" t="str">
        <f>IF(B144="yes",VLOOKUP(A144,'FAO crop mapping'!$A$22:$H$60,6,FALSE), "")</f>
        <v/>
      </c>
      <c r="I143" t="str">
        <f>IF(B144="yes",VLOOKUP(A144,'FAO crop mapping'!$A$22:$H$60,7,FALSE), "")</f>
        <v/>
      </c>
      <c r="J143" t="str">
        <f>IF(B144="yes",VLOOKUP(A144,'FAO crop mapping'!$A$22:$H$60,8,FALSE), "")</f>
        <v/>
      </c>
    </row>
    <row r="144" spans="1:10" x14ac:dyDescent="0.25">
      <c r="A144" t="s">
        <v>215</v>
      </c>
      <c r="B144" t="s">
        <v>80</v>
      </c>
      <c r="C144" t="s">
        <v>80</v>
      </c>
      <c r="D144" t="str">
        <f>IF(B144="yes",VLOOKUP(A144,'FAO crop mapping'!$A$22:$H$60,2,FALSE), "")</f>
        <v/>
      </c>
      <c r="E144" t="str">
        <f>IF(B144="yes",VLOOKUP(A144,'FAO crop mapping'!$A$22:$H$60,3,FALSE), "")</f>
        <v/>
      </c>
      <c r="F144" t="str">
        <f>IF(B144="yes",VLOOKUP(A144,'FAO crop mapping'!$A$22:$H$60,4,FALSE), "")</f>
        <v/>
      </c>
      <c r="G144" t="str">
        <f>IF(B144="yes",VLOOKUP(A144,'FAO crop mapping'!$A$22:$H$60,5,FALSE), "")</f>
        <v/>
      </c>
      <c r="H144" t="str">
        <f>IF(B145="yes",VLOOKUP(A145,'FAO crop mapping'!$A$22:$H$60,6,FALSE), "")</f>
        <v/>
      </c>
      <c r="I144" t="str">
        <f>IF(B145="yes",VLOOKUP(A145,'FAO crop mapping'!$A$22:$H$60,7,FALSE), "")</f>
        <v/>
      </c>
      <c r="J144" t="str">
        <f>IF(B145="yes",VLOOKUP(A145,'FAO crop mapping'!$A$22:$H$60,8,FALSE), "")</f>
        <v/>
      </c>
    </row>
    <row r="145" spans="1:10" x14ac:dyDescent="0.25">
      <c r="A145" t="s">
        <v>216</v>
      </c>
      <c r="B145" t="s">
        <v>80</v>
      </c>
      <c r="C145" t="s">
        <v>80</v>
      </c>
      <c r="D145" t="str">
        <f>IF(B145="yes",VLOOKUP(A145,'FAO crop mapping'!$A$22:$H$60,2,FALSE), "")</f>
        <v/>
      </c>
      <c r="E145" t="str">
        <f>IF(B145="yes",VLOOKUP(A145,'FAO crop mapping'!$A$22:$H$60,3,FALSE), "")</f>
        <v/>
      </c>
      <c r="F145" t="str">
        <f>IF(B145="yes",VLOOKUP(A145,'FAO crop mapping'!$A$22:$H$60,4,FALSE), "")</f>
        <v/>
      </c>
      <c r="G145" t="str">
        <f>IF(B145="yes",VLOOKUP(A145,'FAO crop mapping'!$A$22:$H$60,5,FALSE), "")</f>
        <v/>
      </c>
      <c r="H145" t="str">
        <f>IF(B146="yes",VLOOKUP(A146,'FAO crop mapping'!$A$22:$H$60,6,FALSE), "")</f>
        <v/>
      </c>
      <c r="I145" t="str">
        <f>IF(B146="yes",VLOOKUP(A146,'FAO crop mapping'!$A$22:$H$60,7,FALSE), "")</f>
        <v/>
      </c>
      <c r="J145" t="str">
        <f>IF(B146="yes",VLOOKUP(A146,'FAO crop mapping'!$A$22:$H$60,8,FALSE), "")</f>
        <v/>
      </c>
    </row>
    <row r="146" spans="1:10" x14ac:dyDescent="0.25">
      <c r="A146" t="s">
        <v>217</v>
      </c>
      <c r="B146" t="s">
        <v>80</v>
      </c>
      <c r="C146" t="s">
        <v>80</v>
      </c>
      <c r="D146" t="str">
        <f>IF(B146="yes",VLOOKUP(A146,'FAO crop mapping'!$A$22:$H$60,2,FALSE), "")</f>
        <v/>
      </c>
      <c r="E146" t="str">
        <f>IF(B146="yes",VLOOKUP(A146,'FAO crop mapping'!$A$22:$H$60,3,FALSE), "")</f>
        <v/>
      </c>
      <c r="F146" t="str">
        <f>IF(B146="yes",VLOOKUP(A146,'FAO crop mapping'!$A$22:$H$60,4,FALSE), "")</f>
        <v/>
      </c>
      <c r="G146" t="str">
        <f>IF(B146="yes",VLOOKUP(A146,'FAO crop mapping'!$A$22:$H$60,5,FALSE), "")</f>
        <v/>
      </c>
      <c r="H146" t="str">
        <f>IF(B147="yes",VLOOKUP(A147,'FAO crop mapping'!$A$22:$H$60,6,FALSE), "")</f>
        <v/>
      </c>
      <c r="I146" t="str">
        <f>IF(B147="yes",VLOOKUP(A147,'FAO crop mapping'!$A$22:$H$60,7,FALSE), "")</f>
        <v/>
      </c>
      <c r="J146" t="str">
        <f>IF(B147="yes",VLOOKUP(A147,'FAO crop mapping'!$A$22:$H$60,8,FALSE), "")</f>
        <v/>
      </c>
    </row>
    <row r="147" spans="1:10" x14ac:dyDescent="0.25">
      <c r="A147" t="s">
        <v>218</v>
      </c>
      <c r="B147" t="s">
        <v>80</v>
      </c>
      <c r="C147" t="s">
        <v>80</v>
      </c>
      <c r="D147" t="str">
        <f>IF(B147="yes",VLOOKUP(A147,'FAO crop mapping'!$A$22:$H$60,2,FALSE), "")</f>
        <v/>
      </c>
      <c r="E147" t="str">
        <f>IF(B147="yes",VLOOKUP(A147,'FAO crop mapping'!$A$22:$H$60,3,FALSE), "")</f>
        <v/>
      </c>
      <c r="F147" t="str">
        <f>IF(B147="yes",VLOOKUP(A147,'FAO crop mapping'!$A$22:$H$60,4,FALSE), "")</f>
        <v/>
      </c>
      <c r="G147" t="str">
        <f>IF(B147="yes",VLOOKUP(A147,'FAO crop mapping'!$A$22:$H$60,5,FALSE), "")</f>
        <v/>
      </c>
      <c r="H147" t="e">
        <f>IF(B148="yes",VLOOKUP(A148,'FAO crop mapping'!$A$22:$H$60,6,FALSE), "")</f>
        <v>#N/A</v>
      </c>
      <c r="I147" t="e">
        <f>IF(B148="yes",VLOOKUP(A148,'FAO crop mapping'!$A$22:$H$60,7,FALSE), "")</f>
        <v>#N/A</v>
      </c>
      <c r="J147" t="e">
        <f>IF(B148="yes",VLOOKUP(A148,'FAO crop mapping'!$A$22:$H$60,8,FALSE), "")</f>
        <v>#N/A</v>
      </c>
    </row>
    <row r="148" spans="1:10" x14ac:dyDescent="0.25">
      <c r="A148" t="s">
        <v>219</v>
      </c>
      <c r="B148" t="s">
        <v>79</v>
      </c>
      <c r="C148" t="s">
        <v>80</v>
      </c>
      <c r="D148" t="e">
        <f>IF(B148="yes",VLOOKUP(A148,'FAO crop mapping'!$A$22:$H$60,2,FALSE), "")</f>
        <v>#N/A</v>
      </c>
      <c r="E148" t="e">
        <f>IF(B148="yes",VLOOKUP(A148,'FAO crop mapping'!$A$22:$H$60,3,FALSE), "")</f>
        <v>#N/A</v>
      </c>
      <c r="F148" t="e">
        <f>IF(B148="yes",VLOOKUP(A148,'FAO crop mapping'!$A$22:$H$60,4,FALSE), "")</f>
        <v>#N/A</v>
      </c>
      <c r="G148" t="e">
        <f>IF(B148="yes",VLOOKUP(A148,'FAO crop mapping'!$A$22:$H$60,5,FALSE), "")</f>
        <v>#N/A</v>
      </c>
      <c r="H148">
        <f>IF(B149="yes",VLOOKUP(A149,'FAO crop mapping'!$A$22:$H$60,6,FALSE), "")</f>
        <v>1.4</v>
      </c>
      <c r="I148">
        <f>IF(B149="yes",VLOOKUP(A149,'FAO crop mapping'!$A$22:$H$60,7,FALSE), "")</f>
        <v>0</v>
      </c>
      <c r="J148">
        <f>IF(B149="yes",VLOOKUP(A149,'FAO crop mapping'!$A$22:$H$60,8,FALSE), "")</f>
        <v>0</v>
      </c>
    </row>
    <row r="149" spans="1:10" x14ac:dyDescent="0.25">
      <c r="A149" t="s">
        <v>20</v>
      </c>
      <c r="B149" t="s">
        <v>79</v>
      </c>
      <c r="C149" t="s">
        <v>79</v>
      </c>
      <c r="D149">
        <f>IF(B149="yes",VLOOKUP(A149,'FAO crop mapping'!$A$22:$H$60,2,FALSE), "")</f>
        <v>1</v>
      </c>
      <c r="E149">
        <f>IF(B149="yes",VLOOKUP(A149,'FAO crop mapping'!$A$22:$H$60,3,FALSE), "")</f>
        <v>1.43</v>
      </c>
      <c r="F149">
        <f>IF(B149="yes",VLOOKUP(A149,'FAO crop mapping'!$A$22:$H$60,4,FALSE), "")</f>
        <v>0.14000000000000001</v>
      </c>
      <c r="G149">
        <f>IF(B149="yes",VLOOKUP(A149,'FAO crop mapping'!$A$22:$H$60,5,FALSE), "")</f>
        <v>7.0000000000000001E-3</v>
      </c>
      <c r="H149" t="e">
        <f>IF(B150="yes",VLOOKUP(A150,'FAO crop mapping'!$A$22:$H$60,6,FALSE), "")</f>
        <v>#N/A</v>
      </c>
      <c r="I149" t="e">
        <f>IF(B150="yes",VLOOKUP(A150,'FAO crop mapping'!$A$22:$H$60,7,FALSE), "")</f>
        <v>#N/A</v>
      </c>
      <c r="J149" t="e">
        <f>IF(B150="yes",VLOOKUP(A150,'FAO crop mapping'!$A$22:$H$60,8,FALSE), "")</f>
        <v>#N/A</v>
      </c>
    </row>
    <row r="150" spans="1:10" x14ac:dyDescent="0.25">
      <c r="A150" t="s">
        <v>220</v>
      </c>
      <c r="B150" t="s">
        <v>79</v>
      </c>
      <c r="C150" t="s">
        <v>79</v>
      </c>
      <c r="D150" t="e">
        <f>IF(B150="yes",VLOOKUP(A150,'FAO crop mapping'!$A$22:$H$60,2,FALSE), "")</f>
        <v>#N/A</v>
      </c>
      <c r="E150" t="e">
        <f>IF(B150="yes",VLOOKUP(A150,'FAO crop mapping'!$A$22:$H$60,3,FALSE), "")</f>
        <v>#N/A</v>
      </c>
      <c r="F150" t="e">
        <f>IF(B150="yes",VLOOKUP(A150,'FAO crop mapping'!$A$22:$H$60,4,FALSE), "")</f>
        <v>#N/A</v>
      </c>
      <c r="G150" t="e">
        <f>IF(B150="yes",VLOOKUP(A150,'FAO crop mapping'!$A$22:$H$60,5,FALSE), "")</f>
        <v>#N/A</v>
      </c>
      <c r="H150" t="str">
        <f>IF(B151="yes",VLOOKUP(A151,'FAO crop mapping'!$A$22:$H$60,6,FALSE), "")</f>
        <v/>
      </c>
      <c r="I150" t="str">
        <f>IF(B151="yes",VLOOKUP(A151,'FAO crop mapping'!$A$22:$H$60,7,FALSE), "")</f>
        <v/>
      </c>
      <c r="J150" t="str">
        <f>IF(B151="yes",VLOOKUP(A151,'FAO crop mapping'!$A$22:$H$60,8,FALSE), "")</f>
        <v/>
      </c>
    </row>
    <row r="151" spans="1:10" x14ac:dyDescent="0.25">
      <c r="A151" t="s">
        <v>221</v>
      </c>
      <c r="B151" t="s">
        <v>80</v>
      </c>
      <c r="C151" t="s">
        <v>80</v>
      </c>
      <c r="D151" t="str">
        <f>IF(B151="yes",VLOOKUP(A151,'FAO crop mapping'!$A$22:$H$60,2,FALSE), "")</f>
        <v/>
      </c>
      <c r="E151" t="str">
        <f>IF(B151="yes",VLOOKUP(A151,'FAO crop mapping'!$A$22:$H$60,3,FALSE), "")</f>
        <v/>
      </c>
      <c r="F151" t="str">
        <f>IF(B151="yes",VLOOKUP(A151,'FAO crop mapping'!$A$22:$H$60,4,FALSE), "")</f>
        <v/>
      </c>
      <c r="G151" t="str">
        <f>IF(B151="yes",VLOOKUP(A151,'FAO crop mapping'!$A$22:$H$60,5,FALSE), "")</f>
        <v/>
      </c>
      <c r="H151" t="str">
        <f>IF(B152="yes",VLOOKUP(A152,'FAO crop mapping'!$A$22:$H$60,6,FALSE), "")</f>
        <v/>
      </c>
      <c r="I151" t="str">
        <f>IF(B152="yes",VLOOKUP(A152,'FAO crop mapping'!$A$22:$H$60,7,FALSE), "")</f>
        <v/>
      </c>
      <c r="J151" t="str">
        <f>IF(B152="yes",VLOOKUP(A152,'FAO crop mapping'!$A$22:$H$60,8,FALSE), "")</f>
        <v/>
      </c>
    </row>
    <row r="152" spans="1:10" x14ac:dyDescent="0.25">
      <c r="A152" t="s">
        <v>222</v>
      </c>
      <c r="B152" t="s">
        <v>80</v>
      </c>
      <c r="C152" t="s">
        <v>80</v>
      </c>
      <c r="D152" t="str">
        <f>IF(B152="yes",VLOOKUP(A152,'FAO crop mapping'!$A$22:$H$60,2,FALSE), "")</f>
        <v/>
      </c>
      <c r="E152" t="str">
        <f>IF(B152="yes",VLOOKUP(A152,'FAO crop mapping'!$A$22:$H$60,3,FALSE), "")</f>
        <v/>
      </c>
      <c r="F152" t="str">
        <f>IF(B152="yes",VLOOKUP(A152,'FAO crop mapping'!$A$22:$H$60,4,FALSE), "")</f>
        <v/>
      </c>
      <c r="G152" t="str">
        <f>IF(B152="yes",VLOOKUP(A152,'FAO crop mapping'!$A$22:$H$60,5,FALSE), "")</f>
        <v/>
      </c>
      <c r="H152" t="e">
        <f>IF(B153="yes",VLOOKUP(A153,'FAO crop mapping'!$A$22:$H$60,6,FALSE), "")</f>
        <v>#N/A</v>
      </c>
      <c r="I152" t="e">
        <f>IF(B153="yes",VLOOKUP(A153,'FAO crop mapping'!$A$22:$H$60,7,FALSE), "")</f>
        <v>#N/A</v>
      </c>
      <c r="J152" t="e">
        <f>IF(B153="yes",VLOOKUP(A153,'FAO crop mapping'!$A$22:$H$60,8,FALSE), "")</f>
        <v>#N/A</v>
      </c>
    </row>
    <row r="153" spans="1:10" x14ac:dyDescent="0.25">
      <c r="A153" t="s">
        <v>223</v>
      </c>
      <c r="B153" t="s">
        <v>79</v>
      </c>
      <c r="C153" t="s">
        <v>79</v>
      </c>
      <c r="D153" t="e">
        <f>IF(B153="yes",VLOOKUP(A153,'FAO crop mapping'!$A$22:$H$60,2,FALSE), "")</f>
        <v>#N/A</v>
      </c>
      <c r="E153" t="e">
        <f>IF(B153="yes",VLOOKUP(A153,'FAO crop mapping'!$A$22:$H$60,3,FALSE), "")</f>
        <v>#N/A</v>
      </c>
      <c r="F153" t="e">
        <f>IF(B153="yes",VLOOKUP(A153,'FAO crop mapping'!$A$22:$H$60,4,FALSE), "")</f>
        <v>#N/A</v>
      </c>
      <c r="G153" t="e">
        <f>IF(B153="yes",VLOOKUP(A153,'FAO crop mapping'!$A$22:$H$60,5,FALSE), "")</f>
        <v>#N/A</v>
      </c>
      <c r="H153" t="e">
        <f>IF(B154="yes",VLOOKUP(A154,'FAO crop mapping'!$A$22:$H$60,6,FALSE), "")</f>
        <v>#N/A</v>
      </c>
      <c r="I153" t="e">
        <f>IF(B154="yes",VLOOKUP(A154,'FAO crop mapping'!$A$22:$H$60,7,FALSE), "")</f>
        <v>#N/A</v>
      </c>
      <c r="J153" t="e">
        <f>IF(B154="yes",VLOOKUP(A154,'FAO crop mapping'!$A$22:$H$60,8,FALSE), "")</f>
        <v>#N/A</v>
      </c>
    </row>
    <row r="154" spans="1:10" x14ac:dyDescent="0.25">
      <c r="A154" t="s">
        <v>224</v>
      </c>
      <c r="B154" t="s">
        <v>79</v>
      </c>
      <c r="C154" t="s">
        <v>80</v>
      </c>
      <c r="D154" t="e">
        <f>IF(B154="yes",VLOOKUP(A154,'FAO crop mapping'!$A$22:$H$60,2,FALSE), "")</f>
        <v>#N/A</v>
      </c>
      <c r="E154" t="e">
        <f>IF(B154="yes",VLOOKUP(A154,'FAO crop mapping'!$A$22:$H$60,3,FALSE), "")</f>
        <v>#N/A</v>
      </c>
      <c r="F154" t="e">
        <f>IF(B154="yes",VLOOKUP(A154,'FAO crop mapping'!$A$22:$H$60,4,FALSE), "")</f>
        <v>#N/A</v>
      </c>
      <c r="G154" t="e">
        <f>IF(B154="yes",VLOOKUP(A154,'FAO crop mapping'!$A$22:$H$60,5,FALSE), "")</f>
        <v>#N/A</v>
      </c>
      <c r="H154" t="str">
        <f>IF(B155="yes",VLOOKUP(A155,'FAO crop mapping'!$A$22:$H$60,6,FALSE), "")</f>
        <v/>
      </c>
      <c r="I154" t="str">
        <f>IF(B155="yes",VLOOKUP(A155,'FAO crop mapping'!$A$22:$H$60,7,FALSE), "")</f>
        <v/>
      </c>
      <c r="J154" t="str">
        <f>IF(B155="yes",VLOOKUP(A155,'FAO crop mapping'!$A$22:$H$60,8,FALSE), "")</f>
        <v/>
      </c>
    </row>
    <row r="155" spans="1:10" x14ac:dyDescent="0.25">
      <c r="A155" t="s">
        <v>225</v>
      </c>
      <c r="B155" t="s">
        <v>80</v>
      </c>
      <c r="C155" t="s">
        <v>80</v>
      </c>
      <c r="D155" t="str">
        <f>IF(B155="yes",VLOOKUP(A155,'FAO crop mapping'!$A$22:$H$60,2,FALSE), "")</f>
        <v/>
      </c>
      <c r="E155" t="str">
        <f>IF(B155="yes",VLOOKUP(A155,'FAO crop mapping'!$A$22:$H$60,3,FALSE), "")</f>
        <v/>
      </c>
      <c r="F155" t="str">
        <f>IF(B155="yes",VLOOKUP(A155,'FAO crop mapping'!$A$22:$H$60,4,FALSE), "")</f>
        <v/>
      </c>
      <c r="G155" t="str">
        <f>IF(B155="yes",VLOOKUP(A155,'FAO crop mapping'!$A$22:$H$60,5,FALSE), "")</f>
        <v/>
      </c>
      <c r="H155" t="str">
        <f>IF(B156="yes",VLOOKUP(A156,'FAO crop mapping'!$A$22:$H$60,6,FALSE), "")</f>
        <v/>
      </c>
      <c r="I155" t="str">
        <f>IF(B156="yes",VLOOKUP(A156,'FAO crop mapping'!$A$22:$H$60,7,FALSE), "")</f>
        <v/>
      </c>
      <c r="J155" t="str">
        <f>IF(B156="yes",VLOOKUP(A156,'FAO crop mapping'!$A$22:$H$60,8,FALSE), "")</f>
        <v/>
      </c>
    </row>
    <row r="156" spans="1:10" x14ac:dyDescent="0.25">
      <c r="A156" t="s">
        <v>226</v>
      </c>
      <c r="B156" t="s">
        <v>80</v>
      </c>
      <c r="C156" t="s">
        <v>80</v>
      </c>
      <c r="D156" t="str">
        <f>IF(B156="yes",VLOOKUP(A156,'FAO crop mapping'!$A$22:$H$60,2,FALSE), "")</f>
        <v/>
      </c>
      <c r="E156" t="str">
        <f>IF(B156="yes",VLOOKUP(A156,'FAO crop mapping'!$A$22:$H$60,3,FALSE), "")</f>
        <v/>
      </c>
      <c r="F156" t="str">
        <f>IF(B156="yes",VLOOKUP(A156,'FAO crop mapping'!$A$22:$H$60,4,FALSE), "")</f>
        <v/>
      </c>
      <c r="G156" t="str">
        <f>IF(B156="yes",VLOOKUP(A156,'FAO crop mapping'!$A$22:$H$60,5,FALSE), "")</f>
        <v/>
      </c>
      <c r="H156" t="e">
        <f>IF(B157="yes",VLOOKUP(A157,'FAO crop mapping'!$A$22:$H$60,6,FALSE), "")</f>
        <v>#N/A</v>
      </c>
      <c r="I156" t="e">
        <f>IF(B157="yes",VLOOKUP(A157,'FAO crop mapping'!$A$22:$H$60,7,FALSE), "")</f>
        <v>#N/A</v>
      </c>
      <c r="J156" t="e">
        <f>IF(B157="yes",VLOOKUP(A157,'FAO crop mapping'!$A$22:$H$60,8,FALSE), "")</f>
        <v>#N/A</v>
      </c>
    </row>
    <row r="157" spans="1:10" x14ac:dyDescent="0.25">
      <c r="A157" t="s">
        <v>227</v>
      </c>
      <c r="B157" t="s">
        <v>79</v>
      </c>
      <c r="C157" t="s">
        <v>79</v>
      </c>
      <c r="D157" t="e">
        <f>IF(B157="yes",VLOOKUP(A157,'FAO crop mapping'!$A$22:$H$60,2,FALSE), "")</f>
        <v>#N/A</v>
      </c>
      <c r="E157" t="e">
        <f>IF(B157="yes",VLOOKUP(A157,'FAO crop mapping'!$A$22:$H$60,3,FALSE), "")</f>
        <v>#N/A</v>
      </c>
      <c r="F157" t="e">
        <f>IF(B157="yes",VLOOKUP(A157,'FAO crop mapping'!$A$22:$H$60,4,FALSE), "")</f>
        <v>#N/A</v>
      </c>
      <c r="G157" t="e">
        <f>IF(B157="yes",VLOOKUP(A157,'FAO crop mapping'!$A$22:$H$60,5,FALSE), "")</f>
        <v>#N/A</v>
      </c>
      <c r="H157">
        <f>IF(B158="yes",VLOOKUP(A158,'FAO crop mapping'!$A$22:$H$60,6,FALSE), "")</f>
        <v>1.3</v>
      </c>
      <c r="I157">
        <f>IF(B158="yes",VLOOKUP(A158,'FAO crop mapping'!$A$22:$H$60,7,FALSE), "")</f>
        <v>0.25</v>
      </c>
      <c r="J157">
        <f>IF(B158="yes",VLOOKUP(A158,'FAO crop mapping'!$A$22:$H$60,8,FALSE), "")</f>
        <v>8.0000000000000002E-3</v>
      </c>
    </row>
    <row r="158" spans="1:10" x14ac:dyDescent="0.25">
      <c r="A158" t="s">
        <v>19</v>
      </c>
      <c r="B158" t="s">
        <v>79</v>
      </c>
      <c r="C158" t="s">
        <v>80</v>
      </c>
      <c r="D158">
        <f>IF(B158="yes",VLOOKUP(A158,'FAO crop mapping'!$A$22:$H$60,2,FALSE), "")</f>
        <v>1</v>
      </c>
      <c r="E158">
        <f>IF(B158="yes",VLOOKUP(A158,'FAO crop mapping'!$A$22:$H$60,3,FALSE), "")</f>
        <v>0.91</v>
      </c>
      <c r="F158">
        <f>IF(B158="yes",VLOOKUP(A158,'FAO crop mapping'!$A$22:$H$60,4,FALSE), "")</f>
        <v>0.89</v>
      </c>
      <c r="G158">
        <f>IF(B158="yes",VLOOKUP(A158,'FAO crop mapping'!$A$22:$H$60,5,FALSE), "")</f>
        <v>7.0000000000000001E-3</v>
      </c>
      <c r="H158" t="str">
        <f>IF(B159="yes",VLOOKUP(A159,'FAO crop mapping'!$A$22:$H$60,6,FALSE), "")</f>
        <v/>
      </c>
      <c r="I158" t="str">
        <f>IF(B159="yes",VLOOKUP(A159,'FAO crop mapping'!$A$22:$H$60,7,FALSE), "")</f>
        <v/>
      </c>
      <c r="J158" t="str">
        <f>IF(B159="yes",VLOOKUP(A159,'FAO crop mapping'!$A$22:$H$60,8,FALSE), "")</f>
        <v/>
      </c>
    </row>
    <row r="159" spans="1:10" x14ac:dyDescent="0.25">
      <c r="A159" t="s">
        <v>228</v>
      </c>
      <c r="B159" t="s">
        <v>80</v>
      </c>
      <c r="C159" t="s">
        <v>80</v>
      </c>
      <c r="D159" t="str">
        <f>IF(B159="yes",VLOOKUP(A159,'FAO crop mapping'!$A$22:$H$60,2,FALSE), "")</f>
        <v/>
      </c>
      <c r="E159" t="str">
        <f>IF(B159="yes",VLOOKUP(A159,'FAO crop mapping'!$A$22:$H$60,3,FALSE), "")</f>
        <v/>
      </c>
      <c r="F159" t="str">
        <f>IF(B159="yes",VLOOKUP(A159,'FAO crop mapping'!$A$22:$H$60,4,FALSE), "")</f>
        <v/>
      </c>
      <c r="G159" t="str">
        <f>IF(B159="yes",VLOOKUP(A159,'FAO crop mapping'!$A$22:$H$60,5,FALSE), "")</f>
        <v/>
      </c>
      <c r="H159" t="str">
        <f>IF(B160="yes",VLOOKUP(A160,'FAO crop mapping'!$A$22:$H$60,6,FALSE), "")</f>
        <v/>
      </c>
      <c r="I159" t="str">
        <f>IF(B160="yes",VLOOKUP(A160,'FAO crop mapping'!$A$22:$H$60,7,FALSE), "")</f>
        <v/>
      </c>
      <c r="J159" t="str">
        <f>IF(B160="yes",VLOOKUP(A160,'FAO crop mapping'!$A$22:$H$60,8,FALSE), "")</f>
        <v/>
      </c>
    </row>
    <row r="160" spans="1:10" x14ac:dyDescent="0.25">
      <c r="A160" t="s">
        <v>229</v>
      </c>
      <c r="B160" t="s">
        <v>80</v>
      </c>
      <c r="C160" t="s">
        <v>80</v>
      </c>
      <c r="D160" t="str">
        <f>IF(B160="yes",VLOOKUP(A160,'FAO crop mapping'!$A$22:$H$60,2,FALSE), "")</f>
        <v/>
      </c>
      <c r="E160" t="str">
        <f>IF(B160="yes",VLOOKUP(A160,'FAO crop mapping'!$A$22:$H$60,3,FALSE), "")</f>
        <v/>
      </c>
      <c r="F160" t="str">
        <f>IF(B160="yes",VLOOKUP(A160,'FAO crop mapping'!$A$22:$H$60,4,FALSE), "")</f>
        <v/>
      </c>
      <c r="G160" t="str">
        <f>IF(B160="yes",VLOOKUP(A160,'FAO crop mapping'!$A$22:$H$60,5,FALSE), "")</f>
        <v/>
      </c>
      <c r="H160" t="str">
        <f>IF(B161="yes",VLOOKUP(A161,'FAO crop mapping'!$A$22:$H$60,6,FALSE), "")</f>
        <v/>
      </c>
      <c r="I160" t="str">
        <f>IF(B161="yes",VLOOKUP(A161,'FAO crop mapping'!$A$22:$H$60,7,FALSE), "")</f>
        <v/>
      </c>
      <c r="J160" t="str">
        <f>IF(B161="yes",VLOOKUP(A161,'FAO crop mapping'!$A$22:$H$60,8,FALSE), "")</f>
        <v/>
      </c>
    </row>
    <row r="161" spans="1:10" x14ac:dyDescent="0.25">
      <c r="A161" t="s">
        <v>230</v>
      </c>
      <c r="B161" t="s">
        <v>80</v>
      </c>
      <c r="C161" t="s">
        <v>80</v>
      </c>
      <c r="D161" t="str">
        <f>IF(B161="yes",VLOOKUP(A161,'FAO crop mapping'!$A$22:$H$60,2,FALSE), "")</f>
        <v/>
      </c>
      <c r="E161" t="str">
        <f>IF(B161="yes",VLOOKUP(A161,'FAO crop mapping'!$A$22:$H$60,3,FALSE), "")</f>
        <v/>
      </c>
      <c r="F161" t="str">
        <f>IF(B161="yes",VLOOKUP(A161,'FAO crop mapping'!$A$22:$H$60,4,FALSE), "")</f>
        <v/>
      </c>
      <c r="G161" t="str">
        <f>IF(B161="yes",VLOOKUP(A161,'FAO crop mapping'!$A$22:$H$60,5,FALSE), "")</f>
        <v/>
      </c>
      <c r="H161" t="str">
        <f>IF(B162="yes",VLOOKUP(A162,'FAO crop mapping'!$A$22:$H$60,6,FALSE), "")</f>
        <v/>
      </c>
      <c r="I161" t="str">
        <f>IF(B162="yes",VLOOKUP(A162,'FAO crop mapping'!$A$22:$H$60,7,FALSE), "")</f>
        <v/>
      </c>
      <c r="J161" t="str">
        <f>IF(B162="yes",VLOOKUP(A162,'FAO crop mapping'!$A$22:$H$60,8,FALSE), "")</f>
        <v/>
      </c>
    </row>
    <row r="162" spans="1:10" x14ac:dyDescent="0.25">
      <c r="A162" t="s">
        <v>231</v>
      </c>
      <c r="B162" t="s">
        <v>80</v>
      </c>
      <c r="C162" t="s">
        <v>80</v>
      </c>
      <c r="D162" t="str">
        <f>IF(B162="yes",VLOOKUP(A162,'FAO crop mapping'!$A$22:$H$60,2,FALSE), "")</f>
        <v/>
      </c>
      <c r="E162" t="str">
        <f>IF(B162="yes",VLOOKUP(A162,'FAO crop mapping'!$A$22:$H$60,3,FALSE), "")</f>
        <v/>
      </c>
      <c r="F162" t="str">
        <f>IF(B162="yes",VLOOKUP(A162,'FAO crop mapping'!$A$22:$H$60,4,FALSE), "")</f>
        <v/>
      </c>
      <c r="G162" t="str">
        <f>IF(B162="yes",VLOOKUP(A162,'FAO crop mapping'!$A$22:$H$60,5,FALSE), "")</f>
        <v/>
      </c>
      <c r="H162" t="e">
        <f>IF(B163="yes",VLOOKUP(A163,'FAO crop mapping'!$A$22:$H$60,6,FALSE), "")</f>
        <v>#N/A</v>
      </c>
      <c r="I162" t="e">
        <f>IF(B163="yes",VLOOKUP(A163,'FAO crop mapping'!$A$22:$H$60,7,FALSE), "")</f>
        <v>#N/A</v>
      </c>
      <c r="J162" t="e">
        <f>IF(B163="yes",VLOOKUP(A163,'FAO crop mapping'!$A$22:$H$60,8,FALSE), "")</f>
        <v>#N/A</v>
      </c>
    </row>
    <row r="163" spans="1:10" x14ac:dyDescent="0.25">
      <c r="A163" t="s">
        <v>232</v>
      </c>
      <c r="B163" t="s">
        <v>79</v>
      </c>
      <c r="C163" t="s">
        <v>80</v>
      </c>
      <c r="D163" t="e">
        <f>IF(B163="yes",VLOOKUP(A163,'FAO crop mapping'!$A$22:$H$60,2,FALSE), "")</f>
        <v>#N/A</v>
      </c>
      <c r="E163" t="e">
        <f>IF(B163="yes",VLOOKUP(A163,'FAO crop mapping'!$A$22:$H$60,3,FALSE), "")</f>
        <v>#N/A</v>
      </c>
      <c r="F163" t="e">
        <f>IF(B163="yes",VLOOKUP(A163,'FAO crop mapping'!$A$22:$H$60,4,FALSE), "")</f>
        <v>#N/A</v>
      </c>
      <c r="G163" t="e">
        <f>IF(B163="yes",VLOOKUP(A163,'FAO crop mapping'!$A$22:$H$60,5,FALSE), "")</f>
        <v>#N/A</v>
      </c>
      <c r="H163" t="e">
        <f>IF(B164="yes",VLOOKUP(A164,'FAO crop mapping'!$A$22:$H$60,6,FALSE), "")</f>
        <v>#N/A</v>
      </c>
      <c r="I163" t="e">
        <f>IF(B164="yes",VLOOKUP(A164,'FAO crop mapping'!$A$22:$H$60,7,FALSE), "")</f>
        <v>#N/A</v>
      </c>
      <c r="J163" t="e">
        <f>IF(B164="yes",VLOOKUP(A164,'FAO crop mapping'!$A$22:$H$60,8,FALSE), "")</f>
        <v>#N/A</v>
      </c>
    </row>
    <row r="164" spans="1:10" x14ac:dyDescent="0.25">
      <c r="A164" t="s">
        <v>233</v>
      </c>
      <c r="B164" t="s">
        <v>79</v>
      </c>
      <c r="C164" t="s">
        <v>80</v>
      </c>
      <c r="D164" t="e">
        <f>IF(B164="yes",VLOOKUP(A164,'FAO crop mapping'!$A$22:$H$60,2,FALSE), "")</f>
        <v>#N/A</v>
      </c>
      <c r="E164" t="e">
        <f>IF(B164="yes",VLOOKUP(A164,'FAO crop mapping'!$A$22:$H$60,3,FALSE), "")</f>
        <v>#N/A</v>
      </c>
      <c r="F164" t="e">
        <f>IF(B164="yes",VLOOKUP(A164,'FAO crop mapping'!$A$22:$H$60,4,FALSE), "")</f>
        <v>#N/A</v>
      </c>
      <c r="G164" t="e">
        <f>IF(B164="yes",VLOOKUP(A164,'FAO crop mapping'!$A$22:$H$60,5,FALSE), "")</f>
        <v>#N/A</v>
      </c>
      <c r="H164" t="str">
        <f>IF(B165="yes",VLOOKUP(A165,'FAO crop mapping'!$A$22:$H$60,6,FALSE), "")</f>
        <v/>
      </c>
      <c r="I164" t="str">
        <f>IF(B165="yes",VLOOKUP(A165,'FAO crop mapping'!$A$22:$H$60,7,FALSE), "")</f>
        <v/>
      </c>
      <c r="J164" t="str">
        <f>IF(B165="yes",VLOOKUP(A165,'FAO crop mapping'!$A$22:$H$60,8,FALSE), "")</f>
        <v/>
      </c>
    </row>
    <row r="165" spans="1:10" x14ac:dyDescent="0.25">
      <c r="A165" t="s">
        <v>234</v>
      </c>
      <c r="B165" t="s">
        <v>80</v>
      </c>
      <c r="C165" t="s">
        <v>80</v>
      </c>
      <c r="D165" t="str">
        <f>IF(B165="yes",VLOOKUP(A165,'FAO crop mapping'!$A$22:$H$60,2,FALSE), "")</f>
        <v/>
      </c>
      <c r="E165" t="str">
        <f>IF(B165="yes",VLOOKUP(A165,'FAO crop mapping'!$A$22:$H$60,3,FALSE), "")</f>
        <v/>
      </c>
      <c r="F165" t="str">
        <f>IF(B165="yes",VLOOKUP(A165,'FAO crop mapping'!$A$22:$H$60,4,FALSE), "")</f>
        <v/>
      </c>
      <c r="G165" t="str">
        <f>IF(B165="yes",VLOOKUP(A165,'FAO crop mapping'!$A$22:$H$60,5,FALSE), "")</f>
        <v/>
      </c>
      <c r="H165" t="e">
        <f>IF(B166="yes",VLOOKUP(A166,'FAO crop mapping'!$A$22:$H$60,6,FALSE), "")</f>
        <v>#N/A</v>
      </c>
      <c r="I165" t="e">
        <f>IF(B166="yes",VLOOKUP(A166,'FAO crop mapping'!$A$22:$H$60,7,FALSE), "")</f>
        <v>#N/A</v>
      </c>
      <c r="J165" t="e">
        <f>IF(B166="yes",VLOOKUP(A166,'FAO crop mapping'!$A$22:$H$60,8,FALSE), "")</f>
        <v>#N/A</v>
      </c>
    </row>
    <row r="166" spans="1:10" x14ac:dyDescent="0.25">
      <c r="A166" t="s">
        <v>235</v>
      </c>
      <c r="B166" t="s">
        <v>79</v>
      </c>
      <c r="C166" t="s">
        <v>79</v>
      </c>
      <c r="D166" t="e">
        <f>IF(B166="yes",VLOOKUP(A166,'FAO crop mapping'!$A$22:$H$60,2,FALSE), "")</f>
        <v>#N/A</v>
      </c>
      <c r="E166" t="e">
        <f>IF(B166="yes",VLOOKUP(A166,'FAO crop mapping'!$A$22:$H$60,3,FALSE), "")</f>
        <v>#N/A</v>
      </c>
      <c r="F166" t="e">
        <f>IF(B166="yes",VLOOKUP(A166,'FAO crop mapping'!$A$22:$H$60,4,FALSE), "")</f>
        <v>#N/A</v>
      </c>
      <c r="G166" t="e">
        <f>IF(B166="yes",VLOOKUP(A166,'FAO crop mapping'!$A$22:$H$60,5,FALSE), "")</f>
        <v>#N/A</v>
      </c>
      <c r="H166" t="str">
        <f>IF(B167="yes",VLOOKUP(A167,'FAO crop mapping'!$A$22:$H$60,6,FALSE), "")</f>
        <v/>
      </c>
      <c r="I166" t="str">
        <f>IF(B167="yes",VLOOKUP(A167,'FAO crop mapping'!$A$22:$H$60,7,FALSE), "")</f>
        <v/>
      </c>
      <c r="J166" t="str">
        <f>IF(B167="yes",VLOOKUP(A167,'FAO crop mapping'!$A$22:$H$60,8,FALSE), "")</f>
        <v/>
      </c>
    </row>
    <row r="167" spans="1:10" x14ac:dyDescent="0.25">
      <c r="A167" t="s">
        <v>236</v>
      </c>
      <c r="B167" t="s">
        <v>80</v>
      </c>
      <c r="C167" t="s">
        <v>80</v>
      </c>
      <c r="D167" t="str">
        <f>IF(B167="yes",VLOOKUP(A167,'FAO crop mapping'!$A$22:$H$60,2,FALSE), "")</f>
        <v/>
      </c>
      <c r="E167" t="str">
        <f>IF(B167="yes",VLOOKUP(A167,'FAO crop mapping'!$A$22:$H$60,3,FALSE), "")</f>
        <v/>
      </c>
      <c r="F167" t="str">
        <f>IF(B167="yes",VLOOKUP(A167,'FAO crop mapping'!$A$22:$H$60,4,FALSE), "")</f>
        <v/>
      </c>
      <c r="G167" t="str">
        <f>IF(B167="yes",VLOOKUP(A167,'FAO crop mapping'!$A$22:$H$60,5,FALSE), "")</f>
        <v/>
      </c>
      <c r="H167" t="e">
        <f>IF(B168="yes",VLOOKUP(A168,'FAO crop mapping'!$A$22:$H$60,6,FALSE), "")</f>
        <v>#N/A</v>
      </c>
      <c r="I167" t="e">
        <f>IF(B168="yes",VLOOKUP(A168,'FAO crop mapping'!$A$22:$H$60,7,FALSE), "")</f>
        <v>#N/A</v>
      </c>
      <c r="J167" t="e">
        <f>IF(B168="yes",VLOOKUP(A168,'FAO crop mapping'!$A$22:$H$60,8,FALSE), "")</f>
        <v>#N/A</v>
      </c>
    </row>
    <row r="168" spans="1:10" x14ac:dyDescent="0.25">
      <c r="A168" t="s">
        <v>237</v>
      </c>
      <c r="B168" t="s">
        <v>79</v>
      </c>
      <c r="C168" t="s">
        <v>80</v>
      </c>
      <c r="D168" t="e">
        <f>IF(B168="yes",VLOOKUP(A168,'FAO crop mapping'!$A$22:$H$60,2,FALSE), "")</f>
        <v>#N/A</v>
      </c>
      <c r="E168" t="e">
        <f>IF(B168="yes",VLOOKUP(A168,'FAO crop mapping'!$A$22:$H$60,3,FALSE), "")</f>
        <v>#N/A</v>
      </c>
      <c r="F168" t="e">
        <f>IF(B168="yes",VLOOKUP(A168,'FAO crop mapping'!$A$22:$H$60,4,FALSE), "")</f>
        <v>#N/A</v>
      </c>
      <c r="G168" t="e">
        <f>IF(B168="yes",VLOOKUP(A168,'FAO crop mapping'!$A$22:$H$60,5,FALSE), "")</f>
        <v>#N/A</v>
      </c>
      <c r="H168" t="e">
        <f>IF(B169="yes",VLOOKUP(A169,'FAO crop mapping'!$A$22:$H$60,6,FALSE), "")</f>
        <v>#N/A</v>
      </c>
      <c r="I168" t="e">
        <f>IF(B169="yes",VLOOKUP(A169,'FAO crop mapping'!$A$22:$H$60,7,FALSE), "")</f>
        <v>#N/A</v>
      </c>
      <c r="J168" t="e">
        <f>IF(B169="yes",VLOOKUP(A169,'FAO crop mapping'!$A$22:$H$60,8,FALSE), "")</f>
        <v>#N/A</v>
      </c>
    </row>
    <row r="169" spans="1:10" x14ac:dyDescent="0.25">
      <c r="A169" t="s">
        <v>238</v>
      </c>
      <c r="B169" t="s">
        <v>79</v>
      </c>
      <c r="C169" t="s">
        <v>80</v>
      </c>
      <c r="D169" t="e">
        <f>IF(B169="yes",VLOOKUP(A169,'FAO crop mapping'!$A$22:$H$60,2,FALSE), "")</f>
        <v>#N/A</v>
      </c>
      <c r="E169" t="e">
        <f>IF(B169="yes",VLOOKUP(A169,'FAO crop mapping'!$A$22:$H$60,3,FALSE), "")</f>
        <v>#N/A</v>
      </c>
      <c r="F169" t="e">
        <f>IF(B169="yes",VLOOKUP(A169,'FAO crop mapping'!$A$22:$H$60,4,FALSE), "")</f>
        <v>#N/A</v>
      </c>
      <c r="G169" t="e">
        <f>IF(B169="yes",VLOOKUP(A169,'FAO crop mapping'!$A$22:$H$60,5,FALSE), "")</f>
        <v>#N/A</v>
      </c>
      <c r="H169" t="e">
        <f>IF(B170="yes",VLOOKUP(A170,'FAO crop mapping'!$A$22:$H$60,6,FALSE), "")</f>
        <v>#N/A</v>
      </c>
      <c r="I169" t="e">
        <f>IF(B170="yes",VLOOKUP(A170,'FAO crop mapping'!$A$22:$H$60,7,FALSE), "")</f>
        <v>#N/A</v>
      </c>
      <c r="J169" t="e">
        <f>IF(B170="yes",VLOOKUP(A170,'FAO crop mapping'!$A$22:$H$60,8,FALSE), "")</f>
        <v>#N/A</v>
      </c>
    </row>
    <row r="170" spans="1:10" x14ac:dyDescent="0.25">
      <c r="A170" t="s">
        <v>239</v>
      </c>
      <c r="B170" t="s">
        <v>79</v>
      </c>
      <c r="C170" t="s">
        <v>80</v>
      </c>
      <c r="D170" t="e">
        <f>IF(B170="yes",VLOOKUP(A170,'FAO crop mapping'!$A$22:$H$60,2,FALSE), "")</f>
        <v>#N/A</v>
      </c>
      <c r="E170" t="e">
        <f>IF(B170="yes",VLOOKUP(A170,'FAO crop mapping'!$A$22:$H$60,3,FALSE), "")</f>
        <v>#N/A</v>
      </c>
      <c r="F170" t="e">
        <f>IF(B170="yes",VLOOKUP(A170,'FAO crop mapping'!$A$22:$H$60,4,FALSE), "")</f>
        <v>#N/A</v>
      </c>
      <c r="G170" t="e">
        <f>IF(B170="yes",VLOOKUP(A170,'FAO crop mapping'!$A$22:$H$60,5,FALSE), "")</f>
        <v>#N/A</v>
      </c>
      <c r="H170" t="e">
        <f>IF(B171="yes",VLOOKUP(A171,'FAO crop mapping'!$A$22:$H$60,6,FALSE), "")</f>
        <v>#N/A</v>
      </c>
      <c r="I170" t="e">
        <f>IF(B171="yes",VLOOKUP(A171,'FAO crop mapping'!$A$22:$H$60,7,FALSE), "")</f>
        <v>#N/A</v>
      </c>
      <c r="J170" t="e">
        <f>IF(B171="yes",VLOOKUP(A171,'FAO crop mapping'!$A$22:$H$60,8,FALSE), "")</f>
        <v>#N/A</v>
      </c>
    </row>
    <row r="171" spans="1:10" x14ac:dyDescent="0.25">
      <c r="A171" t="s">
        <v>240</v>
      </c>
      <c r="B171" t="s">
        <v>79</v>
      </c>
      <c r="C171" t="s">
        <v>80</v>
      </c>
      <c r="D171" t="e">
        <f>IF(B171="yes",VLOOKUP(A171,'FAO crop mapping'!$A$22:$H$60,2,FALSE), "")</f>
        <v>#N/A</v>
      </c>
      <c r="E171" t="e">
        <f>IF(B171="yes",VLOOKUP(A171,'FAO crop mapping'!$A$22:$H$60,3,FALSE), "")</f>
        <v>#N/A</v>
      </c>
      <c r="F171" t="e">
        <f>IF(B171="yes",VLOOKUP(A171,'FAO crop mapping'!$A$22:$H$60,4,FALSE), "")</f>
        <v>#N/A</v>
      </c>
      <c r="G171" t="e">
        <f>IF(B171="yes",VLOOKUP(A171,'FAO crop mapping'!$A$22:$H$60,5,FALSE), "")</f>
        <v>#N/A</v>
      </c>
      <c r="H171" t="str">
        <f>IF(B172="yes",VLOOKUP(A172,'FAO crop mapping'!$A$22:$H$60,6,FALSE), "")</f>
        <v/>
      </c>
      <c r="I171" t="str">
        <f>IF(B172="yes",VLOOKUP(A172,'FAO crop mapping'!$A$22:$H$60,7,FALSE), "")</f>
        <v/>
      </c>
      <c r="J171" t="str">
        <f>IF(B172="yes",VLOOKUP(A172,'FAO crop mapping'!$A$22:$H$60,8,FALSE), "")</f>
        <v/>
      </c>
    </row>
    <row r="172" spans="1:10" x14ac:dyDescent="0.25">
      <c r="A172" t="s">
        <v>241</v>
      </c>
      <c r="B172" t="s">
        <v>80</v>
      </c>
      <c r="C172" t="s">
        <v>80</v>
      </c>
      <c r="D172" t="str">
        <f>IF(B172="yes",VLOOKUP(A172,'FAO crop mapping'!$A$22:$H$60,2,FALSE), "")</f>
        <v/>
      </c>
      <c r="E172" t="str">
        <f>IF(B172="yes",VLOOKUP(A172,'FAO crop mapping'!$A$22:$H$60,3,FALSE), "")</f>
        <v/>
      </c>
      <c r="F172" t="str">
        <f>IF(B172="yes",VLOOKUP(A172,'FAO crop mapping'!$A$22:$H$60,4,FALSE), "")</f>
        <v/>
      </c>
      <c r="G172" t="str">
        <f>IF(B172="yes",VLOOKUP(A172,'FAO crop mapping'!$A$22:$H$60,5,FALSE), "")</f>
        <v/>
      </c>
      <c r="H172" t="str">
        <f>IF(B173="yes",VLOOKUP(A173,'FAO crop mapping'!$A$22:$H$60,6,FALSE), "")</f>
        <v/>
      </c>
      <c r="I172" t="str">
        <f>IF(B173="yes",VLOOKUP(A173,'FAO crop mapping'!$A$22:$H$60,7,FALSE), "")</f>
        <v/>
      </c>
      <c r="J172" t="str">
        <f>IF(B173="yes",VLOOKUP(A173,'FAO crop mapping'!$A$22:$H$60,8,FALSE), "")</f>
        <v/>
      </c>
    </row>
    <row r="173" spans="1:10" x14ac:dyDescent="0.25">
      <c r="A173" t="s">
        <v>242</v>
      </c>
      <c r="B173" t="s">
        <v>80</v>
      </c>
      <c r="C173" t="s">
        <v>80</v>
      </c>
      <c r="D173" t="str">
        <f>IF(B173="yes",VLOOKUP(A173,'FAO crop mapping'!$A$22:$H$60,2,FALSE), "")</f>
        <v/>
      </c>
      <c r="E173" t="str">
        <f>IF(B173="yes",VLOOKUP(A173,'FAO crop mapping'!$A$22:$H$60,3,FALSE), "")</f>
        <v/>
      </c>
      <c r="F173" t="str">
        <f>IF(B173="yes",VLOOKUP(A173,'FAO crop mapping'!$A$22:$H$60,4,FALSE), "")</f>
        <v/>
      </c>
      <c r="G173" t="str">
        <f>IF(B173="yes",VLOOKUP(A173,'FAO crop mapping'!$A$22:$H$60,5,FALSE), "")</f>
        <v/>
      </c>
      <c r="H173" t="str">
        <f>IF(B174="yes",VLOOKUP(A174,'FAO crop mapping'!$A$22:$H$60,6,FALSE), "")</f>
        <v/>
      </c>
      <c r="I173" t="str">
        <f>IF(B174="yes",VLOOKUP(A174,'FAO crop mapping'!$A$22:$H$60,7,FALSE), "")</f>
        <v/>
      </c>
      <c r="J173" t="str">
        <f>IF(B174="yes",VLOOKUP(A174,'FAO crop mapping'!$A$22:$H$60,8,FALSE), "")</f>
        <v/>
      </c>
    </row>
    <row r="174" spans="1:10" x14ac:dyDescent="0.25">
      <c r="A174" t="s">
        <v>243</v>
      </c>
      <c r="B174" t="s">
        <v>80</v>
      </c>
      <c r="C174" t="s">
        <v>80</v>
      </c>
      <c r="D174" t="str">
        <f>IF(B174="yes",VLOOKUP(A174,'FAO crop mapping'!$A$22:$H$60,2,FALSE), "")</f>
        <v/>
      </c>
      <c r="E174" t="str">
        <f>IF(B174="yes",VLOOKUP(A174,'FAO crop mapping'!$A$22:$H$60,3,FALSE), "")</f>
        <v/>
      </c>
      <c r="F174" t="str">
        <f>IF(B174="yes",VLOOKUP(A174,'FAO crop mapping'!$A$22:$H$60,4,FALSE), "")</f>
        <v/>
      </c>
      <c r="G174" t="str">
        <f>IF(B174="yes",VLOOKUP(A174,'FAO crop mapping'!$A$22:$H$60,5,FALSE), "")</f>
        <v/>
      </c>
      <c r="H174" t="str">
        <f>IF(B175="yes",VLOOKUP(A175,'FAO crop mapping'!$A$22:$H$60,6,FALSE), "")</f>
        <v/>
      </c>
      <c r="I174" t="str">
        <f>IF(B175="yes",VLOOKUP(A175,'FAO crop mapping'!$A$22:$H$60,7,FALSE), "")</f>
        <v/>
      </c>
      <c r="J174" t="str">
        <f>IF(B175="yes",VLOOKUP(A175,'FAO crop mapping'!$A$22:$H$60,8,FALSE), "")</f>
        <v/>
      </c>
    </row>
    <row r="175" spans="1:10" x14ac:dyDescent="0.25">
      <c r="A175" t="s">
        <v>244</v>
      </c>
      <c r="B175" t="s">
        <v>80</v>
      </c>
      <c r="C175" t="s">
        <v>80</v>
      </c>
      <c r="D175" t="str">
        <f>IF(B175="yes",VLOOKUP(A175,'FAO crop mapping'!$A$22:$H$60,2,FALSE), "")</f>
        <v/>
      </c>
      <c r="E175" t="str">
        <f>IF(B175="yes",VLOOKUP(A175,'FAO crop mapping'!$A$22:$H$60,3,FALSE), "")</f>
        <v/>
      </c>
      <c r="F175" t="str">
        <f>IF(B175="yes",VLOOKUP(A175,'FAO crop mapping'!$A$22:$H$60,4,FALSE), "")</f>
        <v/>
      </c>
      <c r="G175" t="str">
        <f>IF(B175="yes",VLOOKUP(A175,'FAO crop mapping'!$A$22:$H$60,5,FALSE), "")</f>
        <v/>
      </c>
      <c r="H175" t="str">
        <f>IF(B176="yes",VLOOKUP(A176,'FAO crop mapping'!$A$22:$H$60,6,FALSE), "")</f>
        <v/>
      </c>
      <c r="I175" t="str">
        <f>IF(B176="yes",VLOOKUP(A176,'FAO crop mapping'!$A$22:$H$60,7,FALSE), "")</f>
        <v/>
      </c>
      <c r="J175" t="str">
        <f>IF(B176="yes",VLOOKUP(A176,'FAO crop mapping'!$A$22:$H$60,8,FALSE), "")</f>
        <v/>
      </c>
    </row>
    <row r="176" spans="1:10" x14ac:dyDescent="0.25">
      <c r="A176" t="s">
        <v>245</v>
      </c>
      <c r="B176" t="s">
        <v>80</v>
      </c>
      <c r="C176" t="s">
        <v>80</v>
      </c>
      <c r="D176" t="str">
        <f>IF(B176="yes",VLOOKUP(A176,'FAO crop mapping'!$A$22:$H$60,2,FALSE), "")</f>
        <v/>
      </c>
      <c r="E176" t="str">
        <f>IF(B176="yes",VLOOKUP(A176,'FAO crop mapping'!$A$22:$H$60,3,FALSE), "")</f>
        <v/>
      </c>
      <c r="F176" t="str">
        <f>IF(B176="yes",VLOOKUP(A176,'FAO crop mapping'!$A$22:$H$60,4,FALSE), "")</f>
        <v/>
      </c>
      <c r="G176" t="str">
        <f>IF(B176="yes",VLOOKUP(A176,'FAO crop mapping'!$A$22:$H$60,5,FALSE), "")</f>
        <v/>
      </c>
      <c r="H176" t="str">
        <f>IF(B177="yes",VLOOKUP(A177,'FAO crop mapping'!$A$22:$H$60,6,FALSE), "")</f>
        <v/>
      </c>
      <c r="I176" t="str">
        <f>IF(B177="yes",VLOOKUP(A177,'FAO crop mapping'!$A$22:$H$60,7,FALSE), "")</f>
        <v/>
      </c>
      <c r="J176" t="str">
        <f>IF(B177="yes",VLOOKUP(A177,'FAO crop mapping'!$A$22:$H$60,8,FALSE), "")</f>
        <v/>
      </c>
    </row>
    <row r="177" spans="1:10" x14ac:dyDescent="0.25">
      <c r="A177" t="s">
        <v>246</v>
      </c>
      <c r="B177" t="s">
        <v>80</v>
      </c>
      <c r="C177" t="s">
        <v>80</v>
      </c>
      <c r="D177" t="str">
        <f>IF(B177="yes",VLOOKUP(A177,'FAO crop mapping'!$A$22:$H$60,2,FALSE), "")</f>
        <v/>
      </c>
      <c r="E177" t="str">
        <f>IF(B177="yes",VLOOKUP(A177,'FAO crop mapping'!$A$22:$H$60,3,FALSE), "")</f>
        <v/>
      </c>
      <c r="F177" t="str">
        <f>IF(B177="yes",VLOOKUP(A177,'FAO crop mapping'!$A$22:$H$60,4,FALSE), "")</f>
        <v/>
      </c>
      <c r="G177" t="str">
        <f>IF(B177="yes",VLOOKUP(A177,'FAO crop mapping'!$A$22:$H$60,5,FALSE), "")</f>
        <v/>
      </c>
      <c r="H177" t="str">
        <f>IF(B178="yes",VLOOKUP(A178,'FAO crop mapping'!$A$22:$H$60,6,FALSE), "")</f>
        <v/>
      </c>
      <c r="I177" t="str">
        <f>IF(B178="yes",VLOOKUP(A178,'FAO crop mapping'!$A$22:$H$60,7,FALSE), "")</f>
        <v/>
      </c>
      <c r="J177" t="str">
        <f>IF(B178="yes",VLOOKUP(A178,'FAO crop mapping'!$A$22:$H$60,8,FALSE), "")</f>
        <v/>
      </c>
    </row>
    <row r="178" spans="1:10" x14ac:dyDescent="0.25">
      <c r="A178" t="s">
        <v>247</v>
      </c>
      <c r="B178" t="s">
        <v>80</v>
      </c>
      <c r="C178" t="s">
        <v>80</v>
      </c>
      <c r="D178" t="str">
        <f>IF(B178="yes",VLOOKUP(A178,'FAO crop mapping'!$A$22:$H$60,2,FALSE), "")</f>
        <v/>
      </c>
      <c r="E178" t="str">
        <f>IF(B178="yes",VLOOKUP(A178,'FAO crop mapping'!$A$22:$H$60,3,FALSE), "")</f>
        <v/>
      </c>
      <c r="F178" t="str">
        <f>IF(B178="yes",VLOOKUP(A178,'FAO crop mapping'!$A$22:$H$60,4,FALSE), "")</f>
        <v/>
      </c>
      <c r="G178" t="str">
        <f>IF(B178="yes",VLOOKUP(A178,'FAO crop mapping'!$A$22:$H$60,5,FALSE), "")</f>
        <v/>
      </c>
      <c r="H178" t="str">
        <f>IF(B179="yes",VLOOKUP(A179,'FAO crop mapping'!$A$22:$H$60,6,FALSE), "")</f>
        <v/>
      </c>
      <c r="I178" t="str">
        <f>IF(B179="yes",VLOOKUP(A179,'FAO crop mapping'!$A$22:$H$60,7,FALSE), "")</f>
        <v/>
      </c>
      <c r="J178" t="str">
        <f>IF(B179="yes",VLOOKUP(A179,'FAO crop mapping'!$A$22:$H$60,8,FALSE), "")</f>
        <v/>
      </c>
    </row>
    <row r="179" spans="1:10" x14ac:dyDescent="0.25">
      <c r="A179" t="s">
        <v>248</v>
      </c>
      <c r="B179" t="s">
        <v>80</v>
      </c>
      <c r="C179" t="s">
        <v>80</v>
      </c>
      <c r="D179" t="str">
        <f>IF(B179="yes",VLOOKUP(A179,'FAO crop mapping'!$A$22:$H$60,2,FALSE), "")</f>
        <v/>
      </c>
      <c r="E179" t="str">
        <f>IF(B179="yes",VLOOKUP(A179,'FAO crop mapping'!$A$22:$H$60,3,FALSE), "")</f>
        <v/>
      </c>
      <c r="F179" t="str">
        <f>IF(B179="yes",VLOOKUP(A179,'FAO crop mapping'!$A$22:$H$60,4,FALSE), "")</f>
        <v/>
      </c>
      <c r="G179" t="str">
        <f>IF(B179="yes",VLOOKUP(A179,'FAO crop mapping'!$A$22:$H$60,5,FALSE), "")</f>
        <v/>
      </c>
      <c r="H179" t="str">
        <f>IF(B180="yes",VLOOKUP(A180,'FAO crop mapping'!$A$22:$H$60,6,FALSE), "")</f>
        <v/>
      </c>
      <c r="I179" t="str">
        <f>IF(B180="yes",VLOOKUP(A180,'FAO crop mapping'!$A$22:$H$60,7,FALSE), "")</f>
        <v/>
      </c>
      <c r="J179" t="str">
        <f>IF(B180="yes",VLOOKUP(A180,'FAO crop mapping'!$A$22:$H$60,8,FALSE), "")</f>
        <v/>
      </c>
    </row>
    <row r="180" spans="1:10" x14ac:dyDescent="0.25">
      <c r="A180" t="s">
        <v>249</v>
      </c>
      <c r="B180" t="s">
        <v>80</v>
      </c>
      <c r="C180" t="s">
        <v>80</v>
      </c>
      <c r="D180" t="str">
        <f>IF(B180="yes",VLOOKUP(A180,'FAO crop mapping'!$A$22:$H$60,2,FALSE), "")</f>
        <v/>
      </c>
      <c r="E180" t="str">
        <f>IF(B180="yes",VLOOKUP(A180,'FAO crop mapping'!$A$22:$H$60,3,FALSE), "")</f>
        <v/>
      </c>
      <c r="F180" t="str">
        <f>IF(B180="yes",VLOOKUP(A180,'FAO crop mapping'!$A$22:$H$60,4,FALSE), "")</f>
        <v/>
      </c>
      <c r="G180" t="str">
        <f>IF(B180="yes",VLOOKUP(A180,'FAO crop mapping'!$A$22:$H$60,5,FALSE), "")</f>
        <v/>
      </c>
      <c r="H180" t="str">
        <f>IF(B181="yes",VLOOKUP(A181,'FAO crop mapping'!$A$22:$H$60,6,FALSE), "")</f>
        <v/>
      </c>
      <c r="I180" t="str">
        <f>IF(B181="yes",VLOOKUP(A181,'FAO crop mapping'!$A$22:$H$60,7,FALSE), "")</f>
        <v/>
      </c>
      <c r="J180" t="str">
        <f>IF(B181="yes",VLOOKUP(A181,'FAO crop mapping'!$A$22:$H$60,8,FALSE), "")</f>
        <v/>
      </c>
    </row>
    <row r="181" spans="1:10" x14ac:dyDescent="0.25">
      <c r="A181" t="s">
        <v>250</v>
      </c>
      <c r="B181" t="s">
        <v>80</v>
      </c>
      <c r="C181" t="s">
        <v>80</v>
      </c>
      <c r="D181" t="str">
        <f>IF(B181="yes",VLOOKUP(A181,'FAO crop mapping'!$A$22:$H$60,2,FALSE), "")</f>
        <v/>
      </c>
      <c r="E181" t="str">
        <f>IF(B181="yes",VLOOKUP(A181,'FAO crop mapping'!$A$22:$H$60,3,FALSE), "")</f>
        <v/>
      </c>
      <c r="F181" t="str">
        <f>IF(B181="yes",VLOOKUP(A181,'FAO crop mapping'!$A$22:$H$60,4,FALSE), "")</f>
        <v/>
      </c>
      <c r="G181" t="str">
        <f>IF(B181="yes",VLOOKUP(A181,'FAO crop mapping'!$A$22:$H$60,5,FALSE), "")</f>
        <v/>
      </c>
      <c r="H181" t="str">
        <f>IF(B182="yes",VLOOKUP(A182,'FAO crop mapping'!$A$22:$H$60,6,FALSE), "")</f>
        <v/>
      </c>
      <c r="I181" t="str">
        <f>IF(B182="yes",VLOOKUP(A182,'FAO crop mapping'!$A$22:$H$60,7,FALSE), "")</f>
        <v/>
      </c>
      <c r="J181" t="str">
        <f>IF(B182="yes",VLOOKUP(A182,'FAO crop mapping'!$A$22:$H$60,8,FALSE), "")</f>
        <v/>
      </c>
    </row>
    <row r="182" spans="1:10" x14ac:dyDescent="0.25">
      <c r="A182" t="s">
        <v>251</v>
      </c>
      <c r="B182" t="s">
        <v>80</v>
      </c>
      <c r="C182" t="s">
        <v>80</v>
      </c>
      <c r="D182" t="str">
        <f>IF(B182="yes",VLOOKUP(A182,'FAO crop mapping'!$A$22:$H$60,2,FALSE), "")</f>
        <v/>
      </c>
      <c r="E182" t="str">
        <f>IF(B182="yes",VLOOKUP(A182,'FAO crop mapping'!$A$22:$H$60,3,FALSE), "")</f>
        <v/>
      </c>
      <c r="F182" t="str">
        <f>IF(B182="yes",VLOOKUP(A182,'FAO crop mapping'!$A$22:$H$60,4,FALSE), "")</f>
        <v/>
      </c>
      <c r="G182" t="str">
        <f>IF(B182="yes",VLOOKUP(A182,'FAO crop mapping'!$A$22:$H$60,5,FALSE), "")</f>
        <v/>
      </c>
      <c r="H182" t="str">
        <f>IF(B183="yes",VLOOKUP(A183,'FAO crop mapping'!$A$22:$H$60,6,FALSE), "")</f>
        <v/>
      </c>
      <c r="I182" t="str">
        <f>IF(B183="yes",VLOOKUP(A183,'FAO crop mapping'!$A$22:$H$60,7,FALSE), "")</f>
        <v/>
      </c>
      <c r="J182" t="str">
        <f>IF(B183="yes",VLOOKUP(A183,'FAO crop mapping'!$A$22:$H$60,8,FALSE), "")</f>
        <v/>
      </c>
    </row>
    <row r="183" spans="1:10" x14ac:dyDescent="0.25">
      <c r="A183" t="s">
        <v>252</v>
      </c>
      <c r="B183" t="s">
        <v>80</v>
      </c>
      <c r="C183" t="s">
        <v>80</v>
      </c>
      <c r="D183" t="str">
        <f>IF(B183="yes",VLOOKUP(A183,'FAO crop mapping'!$A$22:$H$60,2,FALSE), "")</f>
        <v/>
      </c>
      <c r="E183" t="str">
        <f>IF(B183="yes",VLOOKUP(A183,'FAO crop mapping'!$A$22:$H$60,3,FALSE), "")</f>
        <v/>
      </c>
      <c r="F183" t="str">
        <f>IF(B183="yes",VLOOKUP(A183,'FAO crop mapping'!$A$22:$H$60,4,FALSE), "")</f>
        <v/>
      </c>
      <c r="G183" t="str">
        <f>IF(B183="yes",VLOOKUP(A183,'FAO crop mapping'!$A$22:$H$60,5,FALSE), "")</f>
        <v/>
      </c>
      <c r="H183" t="str">
        <f>IF(B184="yes",VLOOKUP(A184,'FAO crop mapping'!$A$22:$H$60,6,FALSE), "")</f>
        <v/>
      </c>
      <c r="I183" t="str">
        <f>IF(B184="yes",VLOOKUP(A184,'FAO crop mapping'!$A$22:$H$60,7,FALSE), "")</f>
        <v/>
      </c>
      <c r="J183" t="str">
        <f>IF(B184="yes",VLOOKUP(A184,'FAO crop mapping'!$A$22:$H$60,8,FALSE), "")</f>
        <v/>
      </c>
    </row>
    <row r="184" spans="1:10" x14ac:dyDescent="0.25">
      <c r="A184" t="s">
        <v>253</v>
      </c>
      <c r="B184" t="s">
        <v>80</v>
      </c>
      <c r="C184" t="s">
        <v>80</v>
      </c>
      <c r="D184" t="str">
        <f>IF(B184="yes",VLOOKUP(A184,'FAO crop mapping'!$A$22:$H$60,2,FALSE), "")</f>
        <v/>
      </c>
      <c r="E184" t="str">
        <f>IF(B184="yes",VLOOKUP(A184,'FAO crop mapping'!$A$22:$H$60,3,FALSE), "")</f>
        <v/>
      </c>
      <c r="F184" t="str">
        <f>IF(B184="yes",VLOOKUP(A184,'FAO crop mapping'!$A$22:$H$60,4,FALSE), "")</f>
        <v/>
      </c>
      <c r="G184" t="str">
        <f>IF(B184="yes",VLOOKUP(A184,'FAO crop mapping'!$A$22:$H$60,5,FALSE), "")</f>
        <v/>
      </c>
      <c r="H184" t="str">
        <f>IF(B185="yes",VLOOKUP(A185,'FAO crop mapping'!$A$22:$H$60,6,FALSE), "")</f>
        <v/>
      </c>
      <c r="I184" t="str">
        <f>IF(B185="yes",VLOOKUP(A185,'FAO crop mapping'!$A$22:$H$60,7,FALSE), "")</f>
        <v/>
      </c>
      <c r="J184" t="str">
        <f>IF(B185="yes",VLOOKUP(A185,'FAO crop mapping'!$A$22:$H$60,8,FALSE), "")</f>
        <v/>
      </c>
    </row>
    <row r="185" spans="1:10" x14ac:dyDescent="0.25">
      <c r="A185" t="s">
        <v>254</v>
      </c>
      <c r="B185" t="s">
        <v>80</v>
      </c>
      <c r="C185" t="s">
        <v>80</v>
      </c>
      <c r="D185" t="str">
        <f>IF(B185="yes",VLOOKUP(A185,'FAO crop mapping'!$A$22:$H$60,2,FALSE), "")</f>
        <v/>
      </c>
      <c r="E185" t="str">
        <f>IF(B185="yes",VLOOKUP(A185,'FAO crop mapping'!$A$22:$H$60,3,FALSE), "")</f>
        <v/>
      </c>
      <c r="F185" t="str">
        <f>IF(B185="yes",VLOOKUP(A185,'FAO crop mapping'!$A$22:$H$60,4,FALSE), "")</f>
        <v/>
      </c>
      <c r="G185" t="str">
        <f>IF(B185="yes",VLOOKUP(A185,'FAO crop mapping'!$A$22:$H$60,5,FALSE), "")</f>
        <v/>
      </c>
      <c r="H185" t="str">
        <f>IF(B186="yes",VLOOKUP(A186,'FAO crop mapping'!$A$22:$H$60,6,FALSE), "")</f>
        <v/>
      </c>
      <c r="I185" t="str">
        <f>IF(B186="yes",VLOOKUP(A186,'FAO crop mapping'!$A$22:$H$60,7,FALSE), "")</f>
        <v/>
      </c>
      <c r="J185" t="str">
        <f>IF(B186="yes",VLOOKUP(A186,'FAO crop mapping'!$A$22:$H$60,8,FALSE), "")</f>
        <v/>
      </c>
    </row>
    <row r="186" spans="1:10" x14ac:dyDescent="0.25">
      <c r="A186" t="s">
        <v>255</v>
      </c>
      <c r="B186" t="s">
        <v>80</v>
      </c>
      <c r="C186" t="s">
        <v>80</v>
      </c>
      <c r="D186" t="str">
        <f>IF(B186="yes",VLOOKUP(A186,'FAO crop mapping'!$A$22:$H$60,2,FALSE), "")</f>
        <v/>
      </c>
      <c r="E186" t="str">
        <f>IF(B186="yes",VLOOKUP(A186,'FAO crop mapping'!$A$22:$H$60,3,FALSE), "")</f>
        <v/>
      </c>
      <c r="F186" t="str">
        <f>IF(B186="yes",VLOOKUP(A186,'FAO crop mapping'!$A$22:$H$60,4,FALSE), "")</f>
        <v/>
      </c>
      <c r="G186" t="str">
        <f>IF(B186="yes",VLOOKUP(A186,'FAO crop mapping'!$A$22:$H$60,5,FALSE), "")</f>
        <v/>
      </c>
      <c r="H186" t="str">
        <f>IF(B187="yes",VLOOKUP(A187,'FAO crop mapping'!$A$22:$H$60,6,FALSE), "")</f>
        <v/>
      </c>
      <c r="I186" t="str">
        <f>IF(B187="yes",VLOOKUP(A187,'FAO crop mapping'!$A$22:$H$60,7,FALSE), "")</f>
        <v/>
      </c>
      <c r="J186" t="str">
        <f>IF(B187="yes",VLOOKUP(A187,'FAO crop mapping'!$A$22:$H$60,8,FALSE), "")</f>
        <v/>
      </c>
    </row>
    <row r="187" spans="1:10" x14ac:dyDescent="0.25">
      <c r="A187" t="s">
        <v>256</v>
      </c>
      <c r="B187" t="s">
        <v>80</v>
      </c>
      <c r="C187" t="s">
        <v>80</v>
      </c>
      <c r="D187" t="str">
        <f>IF(B187="yes",VLOOKUP(A187,'FAO crop mapping'!$A$22:$H$60,2,FALSE), "")</f>
        <v/>
      </c>
      <c r="E187" t="str">
        <f>IF(B187="yes",VLOOKUP(A187,'FAO crop mapping'!$A$22:$H$60,3,FALSE), "")</f>
        <v/>
      </c>
      <c r="F187" t="str">
        <f>IF(B187="yes",VLOOKUP(A187,'FAO crop mapping'!$A$22:$H$60,4,FALSE), "")</f>
        <v/>
      </c>
      <c r="G187" t="str">
        <f>IF(B187="yes",VLOOKUP(A187,'FAO crop mapping'!$A$22:$H$60,5,FALSE), "")</f>
        <v/>
      </c>
      <c r="H187" t="e">
        <f>IF(B188="yes",VLOOKUP(A188,'FAO crop mapping'!$A$22:$H$60,6,FALSE), "")</f>
        <v>#N/A</v>
      </c>
      <c r="I187" t="e">
        <f>IF(B188="yes",VLOOKUP(A188,'FAO crop mapping'!$A$22:$H$60,7,FALSE), "")</f>
        <v>#N/A</v>
      </c>
      <c r="J187" t="e">
        <f>IF(B188="yes",VLOOKUP(A188,'FAO crop mapping'!$A$22:$H$60,8,FALSE), "")</f>
        <v>#N/A</v>
      </c>
    </row>
    <row r="188" spans="1:10" x14ac:dyDescent="0.25">
      <c r="A188" t="s">
        <v>257</v>
      </c>
      <c r="B188" t="s">
        <v>79</v>
      </c>
      <c r="C188" t="s">
        <v>80</v>
      </c>
      <c r="D188" t="e">
        <f>IF(B188="yes",VLOOKUP(A188,'FAO crop mapping'!$A$22:$H$60,2,FALSE), "")</f>
        <v>#N/A</v>
      </c>
      <c r="E188" t="e">
        <f>IF(B188="yes",VLOOKUP(A188,'FAO crop mapping'!$A$22:$H$60,3,FALSE), "")</f>
        <v>#N/A</v>
      </c>
      <c r="F188" t="e">
        <f>IF(B188="yes",VLOOKUP(A188,'FAO crop mapping'!$A$22:$H$60,4,FALSE), "")</f>
        <v>#N/A</v>
      </c>
      <c r="G188" t="e">
        <f>IF(B188="yes",VLOOKUP(A188,'FAO crop mapping'!$A$22:$H$60,5,FALSE), "")</f>
        <v>#N/A</v>
      </c>
      <c r="H188" t="str">
        <f>IF(B189="yes",VLOOKUP(A189,'FAO crop mapping'!$A$22:$H$60,6,FALSE), "")</f>
        <v/>
      </c>
      <c r="I188" t="str">
        <f>IF(B189="yes",VLOOKUP(A189,'FAO crop mapping'!$A$22:$H$60,7,FALSE), "")</f>
        <v/>
      </c>
      <c r="J188" t="str">
        <f>IF(B189="yes",VLOOKUP(A189,'FAO crop mapping'!$A$22:$H$60,8,FALSE), "")</f>
        <v/>
      </c>
    </row>
    <row r="189" spans="1:10" x14ac:dyDescent="0.25">
      <c r="A189" t="s">
        <v>258</v>
      </c>
      <c r="B189" t="s">
        <v>80</v>
      </c>
      <c r="C189" t="s">
        <v>80</v>
      </c>
      <c r="D189" t="str">
        <f>IF(B189="yes",VLOOKUP(A189,'FAO crop mapping'!$A$22:$H$60,2,FALSE), "")</f>
        <v/>
      </c>
      <c r="E189" t="str">
        <f>IF(B189="yes",VLOOKUP(A189,'FAO crop mapping'!$A$22:$H$60,3,FALSE), "")</f>
        <v/>
      </c>
      <c r="F189" t="str">
        <f>IF(B189="yes",VLOOKUP(A189,'FAO crop mapping'!$A$22:$H$60,4,FALSE), "")</f>
        <v/>
      </c>
      <c r="G189" t="str">
        <f>IF(B189="yes",VLOOKUP(A189,'FAO crop mapping'!$A$22:$H$60,5,FALSE), "")</f>
        <v/>
      </c>
      <c r="H189" t="e">
        <f>IF(B190="yes",VLOOKUP(A190,'FAO crop mapping'!$A$22:$H$60,6,FALSE), "")</f>
        <v>#N/A</v>
      </c>
      <c r="I189" t="e">
        <f>IF(B190="yes",VLOOKUP(A190,'FAO crop mapping'!$A$22:$H$60,7,FALSE), "")</f>
        <v>#N/A</v>
      </c>
      <c r="J189" t="e">
        <f>IF(B190="yes",VLOOKUP(A190,'FAO crop mapping'!$A$22:$H$60,8,FALSE), "")</f>
        <v>#N/A</v>
      </c>
    </row>
    <row r="190" spans="1:10" x14ac:dyDescent="0.25">
      <c r="A190" t="s">
        <v>259</v>
      </c>
      <c r="B190" t="s">
        <v>79</v>
      </c>
      <c r="C190" t="s">
        <v>80</v>
      </c>
      <c r="D190" t="e">
        <f>IF(B190="yes",VLOOKUP(A190,'FAO crop mapping'!$A$22:$H$60,2,FALSE), "")</f>
        <v>#N/A</v>
      </c>
      <c r="E190" t="e">
        <f>IF(B190="yes",VLOOKUP(A190,'FAO crop mapping'!$A$22:$H$60,3,FALSE), "")</f>
        <v>#N/A</v>
      </c>
      <c r="F190" t="e">
        <f>IF(B190="yes",VLOOKUP(A190,'FAO crop mapping'!$A$22:$H$60,4,FALSE), "")</f>
        <v>#N/A</v>
      </c>
      <c r="G190" t="e">
        <f>IF(B190="yes",VLOOKUP(A190,'FAO crop mapping'!$A$22:$H$60,5,FALSE), "")</f>
        <v>#N/A</v>
      </c>
      <c r="H190" t="e">
        <f>IF(B191="yes",VLOOKUP(A191,'FAO crop mapping'!$A$22:$H$60,6,FALSE), "")</f>
        <v>#N/A</v>
      </c>
      <c r="I190" t="e">
        <f>IF(B191="yes",VLOOKUP(A191,'FAO crop mapping'!$A$22:$H$60,7,FALSE), "")</f>
        <v>#N/A</v>
      </c>
      <c r="J190" t="e">
        <f>IF(B191="yes",VLOOKUP(A191,'FAO crop mapping'!$A$22:$H$60,8,FALSE), "")</f>
        <v>#N/A</v>
      </c>
    </row>
    <row r="191" spans="1:10" x14ac:dyDescent="0.25">
      <c r="A191" t="s">
        <v>260</v>
      </c>
      <c r="B191" t="s">
        <v>79</v>
      </c>
      <c r="C191" t="s">
        <v>80</v>
      </c>
      <c r="D191" t="e">
        <f>IF(B191="yes",VLOOKUP(A191,'FAO crop mapping'!$A$22:$H$60,2,FALSE), "")</f>
        <v>#N/A</v>
      </c>
      <c r="E191" t="e">
        <f>IF(B191="yes",VLOOKUP(A191,'FAO crop mapping'!$A$22:$H$60,3,FALSE), "")</f>
        <v>#N/A</v>
      </c>
      <c r="F191" t="e">
        <f>IF(B191="yes",VLOOKUP(A191,'FAO crop mapping'!$A$22:$H$60,4,FALSE), "")</f>
        <v>#N/A</v>
      </c>
      <c r="G191" t="e">
        <f>IF(B191="yes",VLOOKUP(A191,'FAO crop mapping'!$A$22:$H$60,5,FALSE), "")</f>
        <v>#N/A</v>
      </c>
      <c r="H191" t="e">
        <f>IF(B192="yes",VLOOKUP(A192,'FAO crop mapping'!$A$22:$H$60,6,FALSE), "")</f>
        <v>#N/A</v>
      </c>
      <c r="I191" t="e">
        <f>IF(B192="yes",VLOOKUP(A192,'FAO crop mapping'!$A$22:$H$60,7,FALSE), "")</f>
        <v>#N/A</v>
      </c>
      <c r="J191" t="e">
        <f>IF(B192="yes",VLOOKUP(A192,'FAO crop mapping'!$A$22:$H$60,8,FALSE), "")</f>
        <v>#N/A</v>
      </c>
    </row>
    <row r="192" spans="1:10" x14ac:dyDescent="0.25">
      <c r="A192" t="s">
        <v>261</v>
      </c>
      <c r="B192" t="s">
        <v>79</v>
      </c>
      <c r="C192" t="s">
        <v>80</v>
      </c>
      <c r="D192" t="e">
        <f>IF(B192="yes",VLOOKUP(A192,'FAO crop mapping'!$A$22:$H$60,2,FALSE), "")</f>
        <v>#N/A</v>
      </c>
      <c r="E192" t="e">
        <f>IF(B192="yes",VLOOKUP(A192,'FAO crop mapping'!$A$22:$H$60,3,FALSE), "")</f>
        <v>#N/A</v>
      </c>
      <c r="F192" t="e">
        <f>IF(B192="yes",VLOOKUP(A192,'FAO crop mapping'!$A$22:$H$60,4,FALSE), "")</f>
        <v>#N/A</v>
      </c>
      <c r="G192" t="e">
        <f>IF(B192="yes",VLOOKUP(A192,'FAO crop mapping'!$A$22:$H$60,5,FALSE), "")</f>
        <v>#N/A</v>
      </c>
      <c r="H192" t="str">
        <f>IF(B193="yes",VLOOKUP(A193,'FAO crop mapping'!$A$22:$H$60,6,FALSE), "")</f>
        <v/>
      </c>
      <c r="I192" t="str">
        <f>IF(B193="yes",VLOOKUP(A193,'FAO crop mapping'!$A$22:$H$60,7,FALSE), "")</f>
        <v/>
      </c>
      <c r="J192" t="str">
        <f>IF(B193="yes",VLOOKUP(A193,'FAO crop mapping'!$A$22:$H$60,8,FALSE), "")</f>
        <v/>
      </c>
    </row>
    <row r="193" spans="1:10" x14ac:dyDescent="0.25">
      <c r="A193" t="s">
        <v>52</v>
      </c>
      <c r="B193" t="s">
        <v>80</v>
      </c>
      <c r="C193" t="s">
        <v>80</v>
      </c>
      <c r="D193" t="str">
        <f>IF(B193="yes",VLOOKUP(A193,'FAO crop mapping'!$A$22:$H$60,2,FALSE), "")</f>
        <v/>
      </c>
      <c r="E193" t="str">
        <f>IF(B193="yes",VLOOKUP(A193,'FAO crop mapping'!$A$22:$H$60,3,FALSE), "")</f>
        <v/>
      </c>
      <c r="F193" t="str">
        <f>IF(B193="yes",VLOOKUP(A193,'FAO crop mapping'!$A$22:$H$60,4,FALSE), "")</f>
        <v/>
      </c>
      <c r="G193" t="str">
        <f>IF(B193="yes",VLOOKUP(A193,'FAO crop mapping'!$A$22:$H$60,5,FALSE), "")</f>
        <v/>
      </c>
      <c r="H193" t="e">
        <f>IF(B194="yes",VLOOKUP(A194,'FAO crop mapping'!$A$22:$H$60,6,FALSE), "")</f>
        <v>#N/A</v>
      </c>
      <c r="I193" t="e">
        <f>IF(B194="yes",VLOOKUP(A194,'FAO crop mapping'!$A$22:$H$60,7,FALSE), "")</f>
        <v>#N/A</v>
      </c>
      <c r="J193" t="e">
        <f>IF(B194="yes",VLOOKUP(A194,'FAO crop mapping'!$A$22:$H$60,8,FALSE), "")</f>
        <v>#N/A</v>
      </c>
    </row>
    <row r="194" spans="1:10" x14ac:dyDescent="0.25">
      <c r="A194" t="s">
        <v>262</v>
      </c>
      <c r="B194" t="s">
        <v>79</v>
      </c>
      <c r="C194" t="s">
        <v>80</v>
      </c>
      <c r="D194" t="e">
        <f>IF(B194="yes",VLOOKUP(A194,'FAO crop mapping'!$A$22:$H$60,2,FALSE), "")</f>
        <v>#N/A</v>
      </c>
      <c r="E194" t="e">
        <f>IF(B194="yes",VLOOKUP(A194,'FAO crop mapping'!$A$22:$H$60,3,FALSE), "")</f>
        <v>#N/A</v>
      </c>
      <c r="F194" t="e">
        <f>IF(B194="yes",VLOOKUP(A194,'FAO crop mapping'!$A$22:$H$60,4,FALSE), "")</f>
        <v>#N/A</v>
      </c>
      <c r="G194" t="e">
        <f>IF(B194="yes",VLOOKUP(A194,'FAO crop mapping'!$A$22:$H$60,5,FALSE), "")</f>
        <v>#N/A</v>
      </c>
      <c r="H194" t="e">
        <f>IF(B195="yes",VLOOKUP(A195,'FAO crop mapping'!$A$22:$H$60,6,FALSE), "")</f>
        <v>#N/A</v>
      </c>
      <c r="I194" t="e">
        <f>IF(B195="yes",VLOOKUP(A195,'FAO crop mapping'!$A$22:$H$60,7,FALSE), "")</f>
        <v>#N/A</v>
      </c>
      <c r="J194" t="e">
        <f>IF(B195="yes",VLOOKUP(A195,'FAO crop mapping'!$A$22:$H$60,8,FALSE), "")</f>
        <v>#N/A</v>
      </c>
    </row>
    <row r="195" spans="1:10" x14ac:dyDescent="0.25">
      <c r="A195" t="s">
        <v>263</v>
      </c>
      <c r="B195" t="s">
        <v>79</v>
      </c>
      <c r="C195" t="s">
        <v>80</v>
      </c>
      <c r="D195" t="e">
        <f>IF(B195="yes",VLOOKUP(A195,'FAO crop mapping'!$A$22:$H$60,2,FALSE), "")</f>
        <v>#N/A</v>
      </c>
      <c r="E195" t="e">
        <f>IF(B195="yes",VLOOKUP(A195,'FAO crop mapping'!$A$22:$H$60,3,FALSE), "")</f>
        <v>#N/A</v>
      </c>
      <c r="F195" t="e">
        <f>IF(B195="yes",VLOOKUP(A195,'FAO crop mapping'!$A$22:$H$60,4,FALSE), "")</f>
        <v>#N/A</v>
      </c>
      <c r="G195" t="e">
        <f>IF(B195="yes",VLOOKUP(A195,'FAO crop mapping'!$A$22:$H$60,5,FALSE), "")</f>
        <v>#N/A</v>
      </c>
      <c r="H195" t="e">
        <f>IF(B196="yes",VLOOKUP(A196,'FAO crop mapping'!$A$22:$H$60,6,FALSE), "")</f>
        <v>#N/A</v>
      </c>
      <c r="I195" t="e">
        <f>IF(B196="yes",VLOOKUP(A196,'FAO crop mapping'!$A$22:$H$60,7,FALSE), "")</f>
        <v>#N/A</v>
      </c>
      <c r="J195" t="e">
        <f>IF(B196="yes",VLOOKUP(A196,'FAO crop mapping'!$A$22:$H$60,8,FALSE), "")</f>
        <v>#N/A</v>
      </c>
    </row>
    <row r="196" spans="1:10" x14ac:dyDescent="0.25">
      <c r="A196" t="s">
        <v>264</v>
      </c>
      <c r="B196" t="s">
        <v>79</v>
      </c>
      <c r="C196" t="s">
        <v>80</v>
      </c>
      <c r="D196" t="e">
        <f>IF(B196="yes",VLOOKUP(A196,'FAO crop mapping'!$A$22:$H$60,2,FALSE), "")</f>
        <v>#N/A</v>
      </c>
      <c r="E196" t="e">
        <f>IF(B196="yes",VLOOKUP(A196,'FAO crop mapping'!$A$22:$H$60,3,FALSE), "")</f>
        <v>#N/A</v>
      </c>
      <c r="F196" t="e">
        <f>IF(B196="yes",VLOOKUP(A196,'FAO crop mapping'!$A$22:$H$60,4,FALSE), "")</f>
        <v>#N/A</v>
      </c>
      <c r="G196" t="e">
        <f>IF(B196="yes",VLOOKUP(A196,'FAO crop mapping'!$A$22:$H$60,5,FALSE), "")</f>
        <v>#N/A</v>
      </c>
      <c r="H196" t="e">
        <f>IF(B197="yes",VLOOKUP(A197,'FAO crop mapping'!$A$22:$H$60,6,FALSE), "")</f>
        <v>#N/A</v>
      </c>
      <c r="I196" t="e">
        <f>IF(B197="yes",VLOOKUP(A197,'FAO crop mapping'!$A$22:$H$60,7,FALSE), "")</f>
        <v>#N/A</v>
      </c>
      <c r="J196" t="e">
        <f>IF(B197="yes",VLOOKUP(A197,'FAO crop mapping'!$A$22:$H$60,8,FALSE), "")</f>
        <v>#N/A</v>
      </c>
    </row>
    <row r="197" spans="1:10" x14ac:dyDescent="0.25">
      <c r="A197" t="s">
        <v>265</v>
      </c>
      <c r="B197" t="s">
        <v>79</v>
      </c>
      <c r="C197" t="s">
        <v>80</v>
      </c>
      <c r="D197" t="e">
        <f>IF(B197="yes",VLOOKUP(A197,'FAO crop mapping'!$A$22:$H$60,2,FALSE), "")</f>
        <v>#N/A</v>
      </c>
      <c r="E197" t="e">
        <f>IF(B197="yes",VLOOKUP(A197,'FAO crop mapping'!$A$22:$H$60,3,FALSE), "")</f>
        <v>#N/A</v>
      </c>
      <c r="F197" t="e">
        <f>IF(B197="yes",VLOOKUP(A197,'FAO crop mapping'!$A$22:$H$60,4,FALSE), "")</f>
        <v>#N/A</v>
      </c>
      <c r="G197" t="e">
        <f>IF(B197="yes",VLOOKUP(A197,'FAO crop mapping'!$A$22:$H$60,5,FALSE), "")</f>
        <v>#N/A</v>
      </c>
      <c r="H197" t="str">
        <f>IF(B198="yes",VLOOKUP(A198,'FAO crop mapping'!$A$22:$H$60,6,FALSE), "")</f>
        <v/>
      </c>
      <c r="I197" t="str">
        <f>IF(B198="yes",VLOOKUP(A198,'FAO crop mapping'!$A$22:$H$60,7,FALSE), "")</f>
        <v/>
      </c>
      <c r="J197" t="str">
        <f>IF(B198="yes",VLOOKUP(A198,'FAO crop mapping'!$A$22:$H$60,8,FALSE), "")</f>
        <v/>
      </c>
    </row>
    <row r="198" spans="1:10" x14ac:dyDescent="0.25">
      <c r="A198" t="s">
        <v>266</v>
      </c>
      <c r="B198" t="s">
        <v>80</v>
      </c>
      <c r="C198" t="s">
        <v>80</v>
      </c>
      <c r="D198" t="str">
        <f>IF(B198="yes",VLOOKUP(A198,'FAO crop mapping'!$A$22:$H$60,2,FALSE), "")</f>
        <v/>
      </c>
      <c r="E198" t="str">
        <f>IF(B198="yes",VLOOKUP(A198,'FAO crop mapping'!$A$22:$H$60,3,FALSE), "")</f>
        <v/>
      </c>
      <c r="F198" t="str">
        <f>IF(B198="yes",VLOOKUP(A198,'FAO crop mapping'!$A$22:$H$60,4,FALSE), "")</f>
        <v/>
      </c>
      <c r="G198" t="str">
        <f>IF(B198="yes",VLOOKUP(A198,'FAO crop mapping'!$A$22:$H$60,5,FALSE), "")</f>
        <v/>
      </c>
      <c r="H198" t="e">
        <f>IF(B199="yes",VLOOKUP(A199,'FAO crop mapping'!$A$22:$H$60,6,FALSE), "")</f>
        <v>#N/A</v>
      </c>
      <c r="I198" t="e">
        <f>IF(B199="yes",VLOOKUP(A199,'FAO crop mapping'!$A$22:$H$60,7,FALSE), "")</f>
        <v>#N/A</v>
      </c>
      <c r="J198" t="e">
        <f>IF(B199="yes",VLOOKUP(A199,'FAO crop mapping'!$A$22:$H$60,8,FALSE), "")</f>
        <v>#N/A</v>
      </c>
    </row>
    <row r="199" spans="1:10" x14ac:dyDescent="0.25">
      <c r="A199" t="s">
        <v>267</v>
      </c>
      <c r="B199" t="s">
        <v>79</v>
      </c>
      <c r="C199" t="s">
        <v>80</v>
      </c>
      <c r="D199" t="e">
        <f>IF(B199="yes",VLOOKUP(A199,'FAO crop mapping'!$A$22:$H$60,2,FALSE), "")</f>
        <v>#N/A</v>
      </c>
      <c r="E199" t="e">
        <f>IF(B199="yes",VLOOKUP(A199,'FAO crop mapping'!$A$22:$H$60,3,FALSE), "")</f>
        <v>#N/A</v>
      </c>
      <c r="F199" t="e">
        <f>IF(B199="yes",VLOOKUP(A199,'FAO crop mapping'!$A$22:$H$60,4,FALSE), "")</f>
        <v>#N/A</v>
      </c>
      <c r="G199" t="e">
        <f>IF(B199="yes",VLOOKUP(A199,'FAO crop mapping'!$A$22:$H$60,5,FALSE), "")</f>
        <v>#N/A</v>
      </c>
      <c r="H199">
        <f>IF(B200="yes",VLOOKUP(A200,'FAO crop mapping'!$A$22:$H$60,6,FALSE), "")</f>
        <v>0.3</v>
      </c>
      <c r="I199">
        <f>IF(B200="yes",VLOOKUP(A200,'FAO crop mapping'!$A$22:$H$60,7,FALSE), "")</f>
        <v>0.8</v>
      </c>
      <c r="J199">
        <f>IF(B200="yes",VLOOKUP(A200,'FAO crop mapping'!$A$22:$H$60,8,FALSE), "")</f>
        <v>1.2E-2</v>
      </c>
    </row>
    <row r="200" spans="1:10" x14ac:dyDescent="0.25">
      <c r="A200" t="s">
        <v>54</v>
      </c>
      <c r="B200" t="s">
        <v>79</v>
      </c>
      <c r="C200" t="s">
        <v>80</v>
      </c>
      <c r="D200">
        <f>IF(B200="yes",VLOOKUP(A200,'FAO crop mapping'!$A$22:$H$60,2,FALSE), "")</f>
        <v>0.9</v>
      </c>
      <c r="E200">
        <f>IF(B200="yes",VLOOKUP(A200,'FAO crop mapping'!$A$22:$H$60,3,FALSE), "")</f>
        <v>0.3</v>
      </c>
      <c r="F200">
        <f>IF(B200="yes",VLOOKUP(A200,'FAO crop mapping'!$A$22:$H$60,4,FALSE), "")</f>
        <v>0</v>
      </c>
      <c r="G200">
        <f>IF(B200="yes",VLOOKUP(A200,'FAO crop mapping'!$A$22:$H$60,5,FALSE), "")</f>
        <v>1.4999999999999999E-2</v>
      </c>
      <c r="H200" t="e">
        <f>IF(B201="yes",VLOOKUP(A201,'FAO crop mapping'!$A$22:$H$60,6,FALSE), "")</f>
        <v>#N/A</v>
      </c>
      <c r="I200" t="e">
        <f>IF(B201="yes",VLOOKUP(A201,'FAO crop mapping'!$A$22:$H$60,7,FALSE), "")</f>
        <v>#N/A</v>
      </c>
      <c r="J200" t="e">
        <f>IF(B201="yes",VLOOKUP(A201,'FAO crop mapping'!$A$22:$H$60,8,FALSE), "")</f>
        <v>#N/A</v>
      </c>
    </row>
    <row r="201" spans="1:10" x14ac:dyDescent="0.25">
      <c r="A201" t="s">
        <v>268</v>
      </c>
      <c r="B201" t="s">
        <v>79</v>
      </c>
      <c r="C201" t="s">
        <v>80</v>
      </c>
      <c r="D201" t="e">
        <f>IF(B201="yes",VLOOKUP(A201,'FAO crop mapping'!$A$22:$H$60,2,FALSE), "")</f>
        <v>#N/A</v>
      </c>
      <c r="E201" t="e">
        <f>IF(B201="yes",VLOOKUP(A201,'FAO crop mapping'!$A$22:$H$60,3,FALSE), "")</f>
        <v>#N/A</v>
      </c>
      <c r="F201" t="e">
        <f>IF(B201="yes",VLOOKUP(A201,'FAO crop mapping'!$A$22:$H$60,4,FALSE), "")</f>
        <v>#N/A</v>
      </c>
      <c r="G201" t="e">
        <f>IF(B201="yes",VLOOKUP(A201,'FAO crop mapping'!$A$22:$H$60,5,FALSE), "")</f>
        <v>#N/A</v>
      </c>
      <c r="H201" t="e">
        <f>IF(B202="yes",VLOOKUP(A202,'FAO crop mapping'!$A$22:$H$60,6,FALSE), "")</f>
        <v>#N/A</v>
      </c>
      <c r="I201" t="e">
        <f>IF(B202="yes",VLOOKUP(A202,'FAO crop mapping'!$A$22:$H$60,7,FALSE), "")</f>
        <v>#N/A</v>
      </c>
      <c r="J201" t="e">
        <f>IF(B202="yes",VLOOKUP(A202,'FAO crop mapping'!$A$22:$H$60,8,FALSE), "")</f>
        <v>#N/A</v>
      </c>
    </row>
    <row r="202" spans="1:10" x14ac:dyDescent="0.25">
      <c r="A202" t="s">
        <v>269</v>
      </c>
      <c r="B202" t="s">
        <v>79</v>
      </c>
      <c r="C202" t="s">
        <v>80</v>
      </c>
      <c r="D202" t="e">
        <f>IF(B202="yes",VLOOKUP(A202,'FAO crop mapping'!$A$22:$H$60,2,FALSE), "")</f>
        <v>#N/A</v>
      </c>
      <c r="E202" t="e">
        <f>IF(B202="yes",VLOOKUP(A202,'FAO crop mapping'!$A$22:$H$60,3,FALSE), "")</f>
        <v>#N/A</v>
      </c>
      <c r="F202" t="e">
        <f>IF(B202="yes",VLOOKUP(A202,'FAO crop mapping'!$A$22:$H$60,4,FALSE), "")</f>
        <v>#N/A</v>
      </c>
      <c r="G202" t="e">
        <f>IF(B202="yes",VLOOKUP(A202,'FAO crop mapping'!$A$22:$H$60,5,FALSE), "")</f>
        <v>#N/A</v>
      </c>
      <c r="H202" t="e">
        <f>IF(B203="yes",VLOOKUP(A203,'FAO crop mapping'!$A$22:$H$60,6,FALSE), "")</f>
        <v>#N/A</v>
      </c>
      <c r="I202" t="e">
        <f>IF(B203="yes",VLOOKUP(A203,'FAO crop mapping'!$A$22:$H$60,7,FALSE), "")</f>
        <v>#N/A</v>
      </c>
      <c r="J202" t="e">
        <f>IF(B203="yes",VLOOKUP(A203,'FAO crop mapping'!$A$22:$H$60,8,FALSE), "")</f>
        <v>#N/A</v>
      </c>
    </row>
    <row r="203" spans="1:10" x14ac:dyDescent="0.25">
      <c r="A203" t="s">
        <v>270</v>
      </c>
      <c r="B203" t="s">
        <v>79</v>
      </c>
      <c r="C203" t="s">
        <v>80</v>
      </c>
      <c r="D203" t="e">
        <f>IF(B203="yes",VLOOKUP(A203,'FAO crop mapping'!$A$22:$H$60,2,FALSE), "")</f>
        <v>#N/A</v>
      </c>
      <c r="E203" t="e">
        <f>IF(B203="yes",VLOOKUP(A203,'FAO crop mapping'!$A$22:$H$60,3,FALSE), "")</f>
        <v>#N/A</v>
      </c>
      <c r="F203" t="e">
        <f>IF(B203="yes",VLOOKUP(A203,'FAO crop mapping'!$A$22:$H$60,4,FALSE), "")</f>
        <v>#N/A</v>
      </c>
      <c r="G203" t="e">
        <f>IF(B203="yes",VLOOKUP(A203,'FAO crop mapping'!$A$22:$H$60,5,FALSE), "")</f>
        <v>#N/A</v>
      </c>
      <c r="H203" t="e">
        <f>IF(B204="yes",VLOOKUP(A204,'FAO crop mapping'!$A$22:$H$60,6,FALSE), "")</f>
        <v>#N/A</v>
      </c>
      <c r="I203" t="e">
        <f>IF(B204="yes",VLOOKUP(A204,'FAO crop mapping'!$A$22:$H$60,7,FALSE), "")</f>
        <v>#N/A</v>
      </c>
      <c r="J203" t="e">
        <f>IF(B204="yes",VLOOKUP(A204,'FAO crop mapping'!$A$22:$H$60,8,FALSE), "")</f>
        <v>#N/A</v>
      </c>
    </row>
    <row r="204" spans="1:10" x14ac:dyDescent="0.25">
      <c r="A204" t="s">
        <v>271</v>
      </c>
      <c r="B204" t="s">
        <v>79</v>
      </c>
      <c r="C204" t="s">
        <v>80</v>
      </c>
      <c r="D204" t="e">
        <f>IF(B204="yes",VLOOKUP(A204,'FAO crop mapping'!$A$22:$H$60,2,FALSE), "")</f>
        <v>#N/A</v>
      </c>
      <c r="E204" t="e">
        <f>IF(B204="yes",VLOOKUP(A204,'FAO crop mapping'!$A$22:$H$60,3,FALSE), "")</f>
        <v>#N/A</v>
      </c>
      <c r="F204" t="e">
        <f>IF(B204="yes",VLOOKUP(A204,'FAO crop mapping'!$A$22:$H$60,4,FALSE), "")</f>
        <v>#N/A</v>
      </c>
      <c r="G204" t="e">
        <f>IF(B204="yes",VLOOKUP(A204,'FAO crop mapping'!$A$22:$H$60,5,FALSE), "")</f>
        <v>#N/A</v>
      </c>
      <c r="H204" t="e">
        <f>IF(B205="yes",VLOOKUP(A205,'FAO crop mapping'!$A$22:$H$60,6,FALSE), "")</f>
        <v>#N/A</v>
      </c>
      <c r="I204" t="e">
        <f>IF(B205="yes",VLOOKUP(A205,'FAO crop mapping'!$A$22:$H$60,7,FALSE), "")</f>
        <v>#N/A</v>
      </c>
      <c r="J204" t="e">
        <f>IF(B205="yes",VLOOKUP(A205,'FAO crop mapping'!$A$22:$H$60,8,FALSE), "")</f>
        <v>#N/A</v>
      </c>
    </row>
    <row r="205" spans="1:10" x14ac:dyDescent="0.25">
      <c r="A205" t="s">
        <v>272</v>
      </c>
      <c r="B205" t="s">
        <v>79</v>
      </c>
      <c r="C205" t="s">
        <v>80</v>
      </c>
      <c r="D205" t="e">
        <f>IF(B205="yes",VLOOKUP(A205,'FAO crop mapping'!$A$22:$H$60,2,FALSE), "")</f>
        <v>#N/A</v>
      </c>
      <c r="E205" t="e">
        <f>IF(B205="yes",VLOOKUP(A205,'FAO crop mapping'!$A$22:$H$60,3,FALSE), "")</f>
        <v>#N/A</v>
      </c>
      <c r="F205" t="e">
        <f>IF(B205="yes",VLOOKUP(A205,'FAO crop mapping'!$A$22:$H$60,4,FALSE), "")</f>
        <v>#N/A</v>
      </c>
      <c r="G205" t="e">
        <f>IF(B205="yes",VLOOKUP(A205,'FAO crop mapping'!$A$22:$H$60,5,FALSE), "")</f>
        <v>#N/A</v>
      </c>
      <c r="H205">
        <f>IF(B206="yes",VLOOKUP(A206,'FAO crop mapping'!$A$22:$H$60,6,FALSE), "")</f>
        <v>0.4</v>
      </c>
      <c r="I205">
        <f>IF(B206="yes",VLOOKUP(A206,'FAO crop mapping'!$A$22:$H$60,7,FALSE), "")</f>
        <v>0.2</v>
      </c>
      <c r="J205">
        <f>IF(B206="yes",VLOOKUP(A206,'FAO crop mapping'!$A$22:$H$60,8,FALSE), "")</f>
        <v>1.4E-2</v>
      </c>
    </row>
    <row r="206" spans="1:10" x14ac:dyDescent="0.25">
      <c r="A206" t="s">
        <v>25</v>
      </c>
      <c r="B206" t="s">
        <v>79</v>
      </c>
      <c r="C206" t="s">
        <v>79</v>
      </c>
      <c r="D206">
        <f>IF(B206="yes",VLOOKUP(A206,'FAO crop mapping'!$A$22:$H$60,2,FALSE), "")</f>
        <v>0.22</v>
      </c>
      <c r="E206">
        <f>IF(B206="yes",VLOOKUP(A206,'FAO crop mapping'!$A$22:$H$60,3,FALSE), "")</f>
        <v>0.1</v>
      </c>
      <c r="F206">
        <f>IF(B206="yes",VLOOKUP(A206,'FAO crop mapping'!$A$22:$H$60,4,FALSE), "")</f>
        <v>1.06</v>
      </c>
      <c r="G206">
        <f>IF(B206="yes",VLOOKUP(A206,'FAO crop mapping'!$A$22:$H$60,5,FALSE), "")</f>
        <v>1.9E-2</v>
      </c>
      <c r="H206" t="e">
        <f>IF(B207="yes",VLOOKUP(A207,'FAO crop mapping'!$A$22:$H$60,6,FALSE), "")</f>
        <v>#N/A</v>
      </c>
      <c r="I206" t="e">
        <f>IF(B207="yes",VLOOKUP(A207,'FAO crop mapping'!$A$22:$H$60,7,FALSE), "")</f>
        <v>#N/A</v>
      </c>
      <c r="J206" t="e">
        <f>IF(B207="yes",VLOOKUP(A207,'FAO crop mapping'!$A$22:$H$60,8,FALSE), "")</f>
        <v>#N/A</v>
      </c>
    </row>
    <row r="207" spans="1:10" x14ac:dyDescent="0.25">
      <c r="A207" t="s">
        <v>273</v>
      </c>
      <c r="B207" t="s">
        <v>79</v>
      </c>
      <c r="C207" t="s">
        <v>80</v>
      </c>
      <c r="D207" t="e">
        <f>IF(B207="yes",VLOOKUP(A207,'FAO crop mapping'!$A$22:$H$60,2,FALSE), "")</f>
        <v>#N/A</v>
      </c>
      <c r="E207" t="e">
        <f>IF(B207="yes",VLOOKUP(A207,'FAO crop mapping'!$A$22:$H$60,3,FALSE), "")</f>
        <v>#N/A</v>
      </c>
      <c r="F207" t="e">
        <f>IF(B207="yes",VLOOKUP(A207,'FAO crop mapping'!$A$22:$H$60,4,FALSE), "")</f>
        <v>#N/A</v>
      </c>
      <c r="G207" t="e">
        <f>IF(B207="yes",VLOOKUP(A207,'FAO crop mapping'!$A$22:$H$60,5,FALSE), "")</f>
        <v>#N/A</v>
      </c>
      <c r="H207" t="str">
        <f>IF(B208="yes",VLOOKUP(A208,'FAO crop mapping'!$A$22:$H$60,6,FALSE), "")</f>
        <v/>
      </c>
      <c r="I207" t="str">
        <f>IF(B208="yes",VLOOKUP(A208,'FAO crop mapping'!$A$22:$H$60,7,FALSE), "")</f>
        <v/>
      </c>
      <c r="J207" t="str">
        <f>IF(B208="yes",VLOOKUP(A208,'FAO crop mapping'!$A$22:$H$60,8,FALSE), "")</f>
        <v/>
      </c>
    </row>
    <row r="208" spans="1:10" x14ac:dyDescent="0.25">
      <c r="A208" t="s">
        <v>274</v>
      </c>
      <c r="B208" t="s">
        <v>80</v>
      </c>
      <c r="C208" t="s">
        <v>80</v>
      </c>
      <c r="D208" t="str">
        <f>IF(B208="yes",VLOOKUP(A208,'FAO crop mapping'!$A$22:$H$60,2,FALSE), "")</f>
        <v/>
      </c>
      <c r="E208" t="str">
        <f>IF(B208="yes",VLOOKUP(A208,'FAO crop mapping'!$A$22:$H$60,3,FALSE), "")</f>
        <v/>
      </c>
      <c r="F208" t="str">
        <f>IF(B208="yes",VLOOKUP(A208,'FAO crop mapping'!$A$22:$H$60,4,FALSE), "")</f>
        <v/>
      </c>
      <c r="G208" t="str">
        <f>IF(B208="yes",VLOOKUP(A208,'FAO crop mapping'!$A$22:$H$60,5,FALSE), "")</f>
        <v/>
      </c>
      <c r="H208" t="e">
        <f>IF(B209="yes",VLOOKUP(A209,'FAO crop mapping'!$A$22:$H$60,6,FALSE), "")</f>
        <v>#N/A</v>
      </c>
      <c r="I208" t="e">
        <f>IF(B209="yes",VLOOKUP(A209,'FAO crop mapping'!$A$22:$H$60,7,FALSE), "")</f>
        <v>#N/A</v>
      </c>
      <c r="J208" t="e">
        <f>IF(B209="yes",VLOOKUP(A209,'FAO crop mapping'!$A$22:$H$60,8,FALSE), "")</f>
        <v>#N/A</v>
      </c>
    </row>
    <row r="209" spans="1:10" x14ac:dyDescent="0.25">
      <c r="A209" t="s">
        <v>275</v>
      </c>
      <c r="B209" t="s">
        <v>79</v>
      </c>
      <c r="C209" t="s">
        <v>80</v>
      </c>
      <c r="D209" t="e">
        <f>IF(B209="yes",VLOOKUP(A209,'FAO crop mapping'!$A$22:$H$60,2,FALSE), "")</f>
        <v>#N/A</v>
      </c>
      <c r="E209" t="e">
        <f>IF(B209="yes",VLOOKUP(A209,'FAO crop mapping'!$A$22:$H$60,3,FALSE), "")</f>
        <v>#N/A</v>
      </c>
      <c r="F209" t="e">
        <f>IF(B209="yes",VLOOKUP(A209,'FAO crop mapping'!$A$22:$H$60,4,FALSE), "")</f>
        <v>#N/A</v>
      </c>
      <c r="G209" t="e">
        <f>IF(B209="yes",VLOOKUP(A209,'FAO crop mapping'!$A$22:$H$60,5,FALSE), "")</f>
        <v>#N/A</v>
      </c>
      <c r="H209">
        <f>IF(B210="yes",VLOOKUP(A210,'FAO crop mapping'!$A$22:$H$60,6,FALSE), "")</f>
        <v>1.3</v>
      </c>
      <c r="I209">
        <f>IF(B210="yes",VLOOKUP(A210,'FAO crop mapping'!$A$22:$H$60,7,FALSE), "")</f>
        <v>0.22</v>
      </c>
      <c r="J209">
        <f>IF(B210="yes",VLOOKUP(A210,'FAO crop mapping'!$A$22:$H$60,8,FALSE), "")</f>
        <v>8.9999999999999993E-3</v>
      </c>
    </row>
    <row r="210" spans="1:10" x14ac:dyDescent="0.25">
      <c r="A210" t="s">
        <v>56</v>
      </c>
      <c r="B210" t="s">
        <v>79</v>
      </c>
      <c r="C210" t="s">
        <v>79</v>
      </c>
      <c r="D210">
        <f>IF(B210="yes",VLOOKUP(A210,'FAO crop mapping'!$A$22:$H$60,2,FALSE), "")</f>
        <v>0.88</v>
      </c>
      <c r="E210">
        <f>IF(B210="yes",VLOOKUP(A210,'FAO crop mapping'!$A$22:$H$60,3,FALSE), "")</f>
        <v>1.0900000000000001</v>
      </c>
      <c r="F210">
        <f>IF(B210="yes",VLOOKUP(A210,'FAO crop mapping'!$A$22:$H$60,4,FALSE), "")</f>
        <v>0.88</v>
      </c>
      <c r="G210">
        <f>IF(B210="yes",VLOOKUP(A210,'FAO crop mapping'!$A$22:$H$60,5,FALSE), "")</f>
        <v>6.0000000000000001E-3</v>
      </c>
      <c r="H210" t="str">
        <f>IF(B211="yes",VLOOKUP(A211,'FAO crop mapping'!$A$22:$H$60,6,FALSE), "")</f>
        <v/>
      </c>
      <c r="I210" t="str">
        <f>IF(B211="yes",VLOOKUP(A211,'FAO crop mapping'!$A$22:$H$60,7,FALSE), "")</f>
        <v/>
      </c>
      <c r="J210" t="str">
        <f>IF(B211="yes",VLOOKUP(A211,'FAO crop mapping'!$A$22:$H$60,8,FALSE), "")</f>
        <v/>
      </c>
    </row>
    <row r="211" spans="1:10" x14ac:dyDescent="0.25">
      <c r="A211" t="s">
        <v>276</v>
      </c>
      <c r="B211" t="s">
        <v>80</v>
      </c>
      <c r="C211" t="s">
        <v>80</v>
      </c>
      <c r="D211" t="str">
        <f>IF(B211="yes",VLOOKUP(A211,'FAO crop mapping'!$A$22:$H$60,2,FALSE), "")</f>
        <v/>
      </c>
      <c r="E211" t="str">
        <f>IF(B211="yes",VLOOKUP(A211,'FAO crop mapping'!$A$22:$H$60,3,FALSE), "")</f>
        <v/>
      </c>
      <c r="F211" t="str">
        <f>IF(B211="yes",VLOOKUP(A211,'FAO crop mapping'!$A$22:$H$60,4,FALSE), "")</f>
        <v/>
      </c>
      <c r="G211" t="str">
        <f>IF(B211="yes",VLOOKUP(A211,'FAO crop mapping'!$A$22:$H$60,5,FALSE), "")</f>
        <v/>
      </c>
      <c r="H211" t="str">
        <f>IF(B212="yes",VLOOKUP(A212,'FAO crop mapping'!$A$22:$H$60,6,FALSE), "")</f>
        <v/>
      </c>
      <c r="I211" t="str">
        <f>IF(B212="yes",VLOOKUP(A212,'FAO crop mapping'!$A$22:$H$60,7,FALSE), "")</f>
        <v/>
      </c>
      <c r="J211" t="str">
        <f>IF(B212="yes",VLOOKUP(A212,'FAO crop mapping'!$A$22:$H$60,8,FALSE), "")</f>
        <v/>
      </c>
    </row>
    <row r="212" spans="1:10" x14ac:dyDescent="0.25">
      <c r="A212" t="s">
        <v>277</v>
      </c>
      <c r="B212" t="s">
        <v>80</v>
      </c>
      <c r="C212" t="s">
        <v>80</v>
      </c>
      <c r="D212" t="str">
        <f>IF(B212="yes",VLOOKUP(A212,'FAO crop mapping'!$A$22:$H$60,2,FALSE), "")</f>
        <v/>
      </c>
      <c r="E212" t="str">
        <f>IF(B212="yes",VLOOKUP(A212,'FAO crop mapping'!$A$22:$H$60,3,FALSE), "")</f>
        <v/>
      </c>
      <c r="F212" t="str">
        <f>IF(B212="yes",VLOOKUP(A212,'FAO crop mapping'!$A$22:$H$60,4,FALSE), "")</f>
        <v/>
      </c>
      <c r="G212" t="str">
        <f>IF(B212="yes",VLOOKUP(A212,'FAO crop mapping'!$A$22:$H$60,5,FALSE), "")</f>
        <v/>
      </c>
      <c r="H212" t="e">
        <f>IF(B213="yes",VLOOKUP(A213,'FAO crop mapping'!$A$22:$H$60,6,FALSE), "")</f>
        <v>#N/A</v>
      </c>
      <c r="I212" t="e">
        <f>IF(B213="yes",VLOOKUP(A213,'FAO crop mapping'!$A$22:$H$60,7,FALSE), "")</f>
        <v>#N/A</v>
      </c>
      <c r="J212" t="e">
        <f>IF(B213="yes",VLOOKUP(A213,'FAO crop mapping'!$A$22:$H$60,8,FALSE), "")</f>
        <v>#N/A</v>
      </c>
    </row>
    <row r="213" spans="1:10" x14ac:dyDescent="0.25">
      <c r="A213" t="s">
        <v>278</v>
      </c>
      <c r="B213" t="s">
        <v>79</v>
      </c>
      <c r="C213" t="s">
        <v>80</v>
      </c>
      <c r="D213" t="e">
        <f>IF(B213="yes",VLOOKUP(A213,'FAO crop mapping'!$A$22:$H$60,2,FALSE), "")</f>
        <v>#N/A</v>
      </c>
      <c r="E213" t="e">
        <f>IF(B213="yes",VLOOKUP(A213,'FAO crop mapping'!$A$22:$H$60,3,FALSE), "")</f>
        <v>#N/A</v>
      </c>
      <c r="F213" t="e">
        <f>IF(B213="yes",VLOOKUP(A213,'FAO crop mapping'!$A$22:$H$60,4,FALSE), "")</f>
        <v>#N/A</v>
      </c>
      <c r="G213" t="e">
        <f>IF(B213="yes",VLOOKUP(A213,'FAO crop mapping'!$A$22:$H$60,5,FALSE), "")</f>
        <v>#N/A</v>
      </c>
      <c r="H213" t="e">
        <f>IF(B214="yes",VLOOKUP(A214,'FAO crop mapping'!$A$22:$H$60,6,FALSE), "")</f>
        <v>#N/A</v>
      </c>
      <c r="I213" t="e">
        <f>IF(B214="yes",VLOOKUP(A214,'FAO crop mapping'!$A$22:$H$60,7,FALSE), "")</f>
        <v>#N/A</v>
      </c>
      <c r="J213" t="e">
        <f>IF(B214="yes",VLOOKUP(A214,'FAO crop mapping'!$A$22:$H$60,8,FALSE), "")</f>
        <v>#N/A</v>
      </c>
    </row>
    <row r="214" spans="1:10" x14ac:dyDescent="0.25">
      <c r="A214" t="s">
        <v>279</v>
      </c>
      <c r="B214" t="s">
        <v>79</v>
      </c>
      <c r="C214" t="s">
        <v>80</v>
      </c>
      <c r="D214" t="e">
        <f>IF(B214="yes",VLOOKUP(A214,'FAO crop mapping'!$A$22:$H$60,2,FALSE), "")</f>
        <v>#N/A</v>
      </c>
      <c r="E214" t="e">
        <f>IF(B214="yes",VLOOKUP(A214,'FAO crop mapping'!$A$22:$H$60,3,FALSE), "")</f>
        <v>#N/A</v>
      </c>
      <c r="F214" t="e">
        <f>IF(B214="yes",VLOOKUP(A214,'FAO crop mapping'!$A$22:$H$60,4,FALSE), "")</f>
        <v>#N/A</v>
      </c>
      <c r="G214" t="e">
        <f>IF(B214="yes",VLOOKUP(A214,'FAO crop mapping'!$A$22:$H$60,5,FALSE), "")</f>
        <v>#N/A</v>
      </c>
      <c r="H214" t="e">
        <f>IF(B215="yes",VLOOKUP(A215,'FAO crop mapping'!$A$22:$H$60,6,FALSE), "")</f>
        <v>#N/A</v>
      </c>
      <c r="I214" t="e">
        <f>IF(B215="yes",VLOOKUP(A215,'FAO crop mapping'!$A$22:$H$60,7,FALSE), "")</f>
        <v>#N/A</v>
      </c>
      <c r="J214" t="e">
        <f>IF(B215="yes",VLOOKUP(A215,'FAO crop mapping'!$A$22:$H$60,8,FALSE), "")</f>
        <v>#N/A</v>
      </c>
    </row>
    <row r="215" spans="1:10" x14ac:dyDescent="0.25">
      <c r="A215" t="s">
        <v>280</v>
      </c>
      <c r="B215" t="s">
        <v>79</v>
      </c>
      <c r="C215" t="s">
        <v>80</v>
      </c>
      <c r="D215" t="e">
        <f>IF(B215="yes",VLOOKUP(A215,'FAO crop mapping'!$A$22:$H$60,2,FALSE), "")</f>
        <v>#N/A</v>
      </c>
      <c r="E215" t="e">
        <f>IF(B215="yes",VLOOKUP(A215,'FAO crop mapping'!$A$22:$H$60,3,FALSE), "")</f>
        <v>#N/A</v>
      </c>
      <c r="F215" t="e">
        <f>IF(B215="yes",VLOOKUP(A215,'FAO crop mapping'!$A$22:$H$60,4,FALSE), "")</f>
        <v>#N/A</v>
      </c>
      <c r="G215" t="e">
        <f>IF(B215="yes",VLOOKUP(A215,'FAO crop mapping'!$A$22:$H$60,5,FALSE), "")</f>
        <v>#N/A</v>
      </c>
      <c r="H215" t="str">
        <f>IF(B216="yes",VLOOKUP(A216,'FAO crop mapping'!$A$22:$H$60,6,FALSE), "")</f>
        <v/>
      </c>
      <c r="I215" t="str">
        <f>IF(B216="yes",VLOOKUP(A216,'FAO crop mapping'!$A$22:$H$60,7,FALSE), "")</f>
        <v/>
      </c>
      <c r="J215" t="str">
        <f>IF(B216="yes",VLOOKUP(A216,'FAO crop mapping'!$A$22:$H$60,8,FALSE), "")</f>
        <v/>
      </c>
    </row>
    <row r="216" spans="1:10" x14ac:dyDescent="0.25">
      <c r="A216" t="s">
        <v>281</v>
      </c>
      <c r="B216" t="s">
        <v>80</v>
      </c>
      <c r="C216" t="s">
        <v>80</v>
      </c>
      <c r="D216" t="str">
        <f>IF(B216="yes",VLOOKUP(A216,'FAO crop mapping'!$A$22:$H$60,2,FALSE), "")</f>
        <v/>
      </c>
      <c r="E216" t="str">
        <f>IF(B216="yes",VLOOKUP(A216,'FAO crop mapping'!$A$22:$H$60,3,FALSE), "")</f>
        <v/>
      </c>
      <c r="F216" t="str">
        <f>IF(B216="yes",VLOOKUP(A216,'FAO crop mapping'!$A$22:$H$60,4,FALSE), "")</f>
        <v/>
      </c>
      <c r="G216" t="str">
        <f>IF(B216="yes",VLOOKUP(A216,'FAO crop mapping'!$A$22:$H$60,5,FALSE), "")</f>
        <v/>
      </c>
      <c r="H216" t="str">
        <f>IF(B217="yes",VLOOKUP(A217,'FAO crop mapping'!$A$22:$H$60,6,FALSE), "")</f>
        <v/>
      </c>
      <c r="I216" t="str">
        <f>IF(B217="yes",VLOOKUP(A217,'FAO crop mapping'!$A$22:$H$60,7,FALSE), "")</f>
        <v/>
      </c>
      <c r="J216" t="str">
        <f>IF(B217="yes",VLOOKUP(A217,'FAO crop mapping'!$A$22:$H$60,8,FALSE), "")</f>
        <v/>
      </c>
    </row>
    <row r="217" spans="1:10" x14ac:dyDescent="0.25">
      <c r="A217" t="s">
        <v>282</v>
      </c>
      <c r="B217" t="s">
        <v>80</v>
      </c>
      <c r="C217" t="s">
        <v>80</v>
      </c>
      <c r="D217" t="str">
        <f>IF(B217="yes",VLOOKUP(A217,'FAO crop mapping'!$A$22:$H$60,2,FALSE), "")</f>
        <v/>
      </c>
      <c r="E217" t="str">
        <f>IF(B217="yes",VLOOKUP(A217,'FAO crop mapping'!$A$22:$H$60,3,FALSE), "")</f>
        <v/>
      </c>
      <c r="F217" t="str">
        <f>IF(B217="yes",VLOOKUP(A217,'FAO crop mapping'!$A$22:$H$60,4,FALSE), "")</f>
        <v/>
      </c>
      <c r="G217" t="str">
        <f>IF(B217="yes",VLOOKUP(A217,'FAO crop mapping'!$A$22:$H$60,5,FALSE), "")</f>
        <v/>
      </c>
      <c r="H217" t="str">
        <f>IF(B218="yes",VLOOKUP(A218,'FAO crop mapping'!$A$22:$H$60,6,FALSE), "")</f>
        <v/>
      </c>
      <c r="I217" t="str">
        <f>IF(B218="yes",VLOOKUP(A218,'FAO crop mapping'!$A$22:$H$60,7,FALSE), "")</f>
        <v/>
      </c>
      <c r="J217" t="str">
        <f>IF(B218="yes",VLOOKUP(A218,'FAO crop mapping'!$A$22:$H$60,8,FALSE), "")</f>
        <v/>
      </c>
    </row>
    <row r="218" spans="1:10" x14ac:dyDescent="0.25">
      <c r="A218" t="s">
        <v>283</v>
      </c>
      <c r="B218" t="s">
        <v>80</v>
      </c>
      <c r="C218" t="s">
        <v>80</v>
      </c>
      <c r="D218" t="str">
        <f>IF(B218="yes",VLOOKUP(A218,'FAO crop mapping'!$A$22:$H$60,2,FALSE), "")</f>
        <v/>
      </c>
      <c r="E218" t="str">
        <f>IF(B218="yes",VLOOKUP(A218,'FAO crop mapping'!$A$22:$H$60,3,FALSE), "")</f>
        <v/>
      </c>
      <c r="F218" t="str">
        <f>IF(B218="yes",VLOOKUP(A218,'FAO crop mapping'!$A$22:$H$60,4,FALSE), "")</f>
        <v/>
      </c>
      <c r="G218" t="str">
        <f>IF(B218="yes",VLOOKUP(A218,'FAO crop mapping'!$A$22:$H$60,5,FALSE), "")</f>
        <v/>
      </c>
      <c r="H218" t="str">
        <f>IF(B219="yes",VLOOKUP(A219,'FAO crop mapping'!$A$22:$H$60,6,FALSE), "")</f>
        <v/>
      </c>
      <c r="I218" t="str">
        <f>IF(B219="yes",VLOOKUP(A219,'FAO crop mapping'!$A$22:$H$60,7,FALSE), "")</f>
        <v/>
      </c>
      <c r="J218" t="str">
        <f>IF(B219="yes",VLOOKUP(A219,'FAO crop mapping'!$A$22:$H$60,8,FALSE), "")</f>
        <v/>
      </c>
    </row>
    <row r="219" spans="1:10" x14ac:dyDescent="0.25">
      <c r="A219" t="s">
        <v>284</v>
      </c>
      <c r="B219" t="s">
        <v>80</v>
      </c>
      <c r="C219" t="s">
        <v>80</v>
      </c>
      <c r="D219" t="str">
        <f>IF(B219="yes",VLOOKUP(A219,'FAO crop mapping'!$A$22:$H$60,2,FALSE), "")</f>
        <v/>
      </c>
      <c r="E219" t="str">
        <f>IF(B219="yes",VLOOKUP(A219,'FAO crop mapping'!$A$22:$H$60,3,FALSE), "")</f>
        <v/>
      </c>
      <c r="F219" t="str">
        <f>IF(B219="yes",VLOOKUP(A219,'FAO crop mapping'!$A$22:$H$60,4,FALSE), "")</f>
        <v/>
      </c>
      <c r="G219" t="str">
        <f>IF(B219="yes",VLOOKUP(A219,'FAO crop mapping'!$A$22:$H$60,5,FALSE), "")</f>
        <v/>
      </c>
      <c r="H219" t="str">
        <f>IF(B220="yes",VLOOKUP(A220,'FAO crop mapping'!$A$22:$H$60,6,FALSE), "")</f>
        <v/>
      </c>
      <c r="I219" t="str">
        <f>IF(B220="yes",VLOOKUP(A220,'FAO crop mapping'!$A$22:$H$60,7,FALSE), "")</f>
        <v/>
      </c>
      <c r="J219" t="str">
        <f>IF(B220="yes",VLOOKUP(A220,'FAO crop mapping'!$A$22:$H$60,8,FALSE), "")</f>
        <v/>
      </c>
    </row>
    <row r="220" spans="1:10" x14ac:dyDescent="0.25">
      <c r="A220" t="s">
        <v>285</v>
      </c>
      <c r="B220" t="s">
        <v>80</v>
      </c>
      <c r="C220" t="s">
        <v>80</v>
      </c>
      <c r="D220" t="str">
        <f>IF(B220="yes",VLOOKUP(A220,'FAO crop mapping'!$A$22:$H$60,2,FALSE), "")</f>
        <v/>
      </c>
      <c r="E220" t="str">
        <f>IF(B220="yes",VLOOKUP(A220,'FAO crop mapping'!$A$22:$H$60,3,FALSE), "")</f>
        <v/>
      </c>
      <c r="F220" t="str">
        <f>IF(B220="yes",VLOOKUP(A220,'FAO crop mapping'!$A$22:$H$60,4,FALSE), "")</f>
        <v/>
      </c>
      <c r="G220" t="str">
        <f>IF(B220="yes",VLOOKUP(A220,'FAO crop mapping'!$A$22:$H$60,5,FALSE), "")</f>
        <v/>
      </c>
      <c r="H220" t="str">
        <f>IF(B221="yes",VLOOKUP(A221,'FAO crop mapping'!$A$22:$H$60,6,FALSE), "")</f>
        <v/>
      </c>
      <c r="I220" t="str">
        <f>IF(B221="yes",VLOOKUP(A221,'FAO crop mapping'!$A$22:$H$60,7,FALSE), "")</f>
        <v/>
      </c>
      <c r="J220" t="str">
        <f>IF(B221="yes",VLOOKUP(A221,'FAO crop mapping'!$A$22:$H$60,8,FALSE), "")</f>
        <v/>
      </c>
    </row>
    <row r="221" spans="1:10" x14ac:dyDescent="0.25">
      <c r="A221" t="s">
        <v>286</v>
      </c>
      <c r="B221" t="s">
        <v>80</v>
      </c>
      <c r="C221" t="s">
        <v>80</v>
      </c>
      <c r="D221" t="str">
        <f>IF(B221="yes",VLOOKUP(A221,'FAO crop mapping'!$A$22:$H$60,2,FALSE), "")</f>
        <v/>
      </c>
      <c r="E221" t="str">
        <f>IF(B221="yes",VLOOKUP(A221,'FAO crop mapping'!$A$22:$H$60,3,FALSE), "")</f>
        <v/>
      </c>
      <c r="F221" t="str">
        <f>IF(B221="yes",VLOOKUP(A221,'FAO crop mapping'!$A$22:$H$60,4,FALSE), "")</f>
        <v/>
      </c>
      <c r="G221" t="str">
        <f>IF(B221="yes",VLOOKUP(A221,'FAO crop mapping'!$A$22:$H$60,5,FALSE), "")</f>
        <v/>
      </c>
      <c r="H221" t="str">
        <f>IF(B222="yes",VLOOKUP(A222,'FAO crop mapping'!$A$22:$H$60,6,FALSE), "")</f>
        <v/>
      </c>
      <c r="I221" t="str">
        <f>IF(B222="yes",VLOOKUP(A222,'FAO crop mapping'!$A$22:$H$60,7,FALSE), "")</f>
        <v/>
      </c>
      <c r="J221" t="str">
        <f>IF(B222="yes",VLOOKUP(A222,'FAO crop mapping'!$A$22:$H$60,8,FALSE), "")</f>
        <v/>
      </c>
    </row>
    <row r="222" spans="1:10" x14ac:dyDescent="0.25">
      <c r="A222" t="s">
        <v>287</v>
      </c>
      <c r="B222" t="s">
        <v>80</v>
      </c>
      <c r="C222" t="s">
        <v>80</v>
      </c>
      <c r="D222" t="str">
        <f>IF(B222="yes",VLOOKUP(A222,'FAO crop mapping'!$A$22:$H$60,2,FALSE), "")</f>
        <v/>
      </c>
      <c r="E222" t="str">
        <f>IF(B222="yes",VLOOKUP(A222,'FAO crop mapping'!$A$22:$H$60,3,FALSE), "")</f>
        <v/>
      </c>
      <c r="F222" t="str">
        <f>IF(B222="yes",VLOOKUP(A222,'FAO crop mapping'!$A$22:$H$60,4,FALSE), "")</f>
        <v/>
      </c>
      <c r="G222" t="str">
        <f>IF(B222="yes",VLOOKUP(A222,'FAO crop mapping'!$A$22:$H$60,5,FALSE), "")</f>
        <v/>
      </c>
      <c r="H222" t="str">
        <f>IF(B223="yes",VLOOKUP(A223,'FAO crop mapping'!$A$22:$H$60,6,FALSE), "")</f>
        <v/>
      </c>
      <c r="I222" t="str">
        <f>IF(B223="yes",VLOOKUP(A223,'FAO crop mapping'!$A$22:$H$60,7,FALSE), "")</f>
        <v/>
      </c>
      <c r="J222" t="str">
        <f>IF(B223="yes",VLOOKUP(A223,'FAO crop mapping'!$A$22:$H$60,8,FALSE), "")</f>
        <v/>
      </c>
    </row>
    <row r="223" spans="1:10" x14ac:dyDescent="0.25">
      <c r="A223" t="s">
        <v>288</v>
      </c>
      <c r="B223" t="s">
        <v>80</v>
      </c>
      <c r="C223" t="s">
        <v>80</v>
      </c>
      <c r="D223" t="str">
        <f>IF(B223="yes",VLOOKUP(A223,'FAO crop mapping'!$A$22:$H$60,2,FALSE), "")</f>
        <v/>
      </c>
      <c r="E223" t="str">
        <f>IF(B223="yes",VLOOKUP(A223,'FAO crop mapping'!$A$22:$H$60,3,FALSE), "")</f>
        <v/>
      </c>
      <c r="F223" t="str">
        <f>IF(B223="yes",VLOOKUP(A223,'FAO crop mapping'!$A$22:$H$60,4,FALSE), "")</f>
        <v/>
      </c>
      <c r="G223" t="str">
        <f>IF(B223="yes",VLOOKUP(A223,'FAO crop mapping'!$A$22:$H$60,5,FALSE), "")</f>
        <v/>
      </c>
      <c r="H223" t="str">
        <f>IF(B224="yes",VLOOKUP(A224,'FAO crop mapping'!$A$22:$H$60,6,FALSE), "")</f>
        <v/>
      </c>
      <c r="I223" t="str">
        <f>IF(B224="yes",VLOOKUP(A224,'FAO crop mapping'!$A$22:$H$60,7,FALSE), "")</f>
        <v/>
      </c>
      <c r="J223" t="str">
        <f>IF(B224="yes",VLOOKUP(A224,'FAO crop mapping'!$A$22:$H$60,8,FALSE), "")</f>
        <v/>
      </c>
    </row>
    <row r="224" spans="1:10" x14ac:dyDescent="0.25">
      <c r="A224" t="s">
        <v>289</v>
      </c>
      <c r="B224" t="s">
        <v>80</v>
      </c>
      <c r="C224" t="s">
        <v>80</v>
      </c>
      <c r="D224" t="str">
        <f>IF(B224="yes",VLOOKUP(A224,'FAO crop mapping'!$A$22:$H$60,2,FALSE), "")</f>
        <v/>
      </c>
      <c r="E224" t="str">
        <f>IF(B224="yes",VLOOKUP(A224,'FAO crop mapping'!$A$22:$H$60,3,FALSE), "")</f>
        <v/>
      </c>
      <c r="F224" t="str">
        <f>IF(B224="yes",VLOOKUP(A224,'FAO crop mapping'!$A$22:$H$60,4,FALSE), "")</f>
        <v/>
      </c>
      <c r="G224" t="str">
        <f>IF(B224="yes",VLOOKUP(A224,'FAO crop mapping'!$A$22:$H$60,5,FALSE), "")</f>
        <v/>
      </c>
      <c r="H224" t="str">
        <f>IF(B225="yes",VLOOKUP(A225,'FAO crop mapping'!$A$22:$H$60,6,FALSE), "")</f>
        <v/>
      </c>
      <c r="I224" t="str">
        <f>IF(B225="yes",VLOOKUP(A225,'FAO crop mapping'!$A$22:$H$60,7,FALSE), "")</f>
        <v/>
      </c>
      <c r="J224" t="str">
        <f>IF(B225="yes",VLOOKUP(A225,'FAO crop mapping'!$A$22:$H$60,8,FALSE), "")</f>
        <v/>
      </c>
    </row>
    <row r="225" spans="1:10" x14ac:dyDescent="0.25">
      <c r="A225" t="s">
        <v>290</v>
      </c>
      <c r="B225" t="s">
        <v>80</v>
      </c>
      <c r="C225" t="s">
        <v>80</v>
      </c>
      <c r="D225" t="str">
        <f>IF(B225="yes",VLOOKUP(A225,'FAO crop mapping'!$A$22:$H$60,2,FALSE), "")</f>
        <v/>
      </c>
      <c r="E225" t="str">
        <f>IF(B225="yes",VLOOKUP(A225,'FAO crop mapping'!$A$22:$H$60,3,FALSE), "")</f>
        <v/>
      </c>
      <c r="F225" t="str">
        <f>IF(B225="yes",VLOOKUP(A225,'FAO crop mapping'!$A$22:$H$60,4,FALSE), "")</f>
        <v/>
      </c>
      <c r="G225" t="str">
        <f>IF(B225="yes",VLOOKUP(A225,'FAO crop mapping'!$A$22:$H$60,5,FALSE), "")</f>
        <v/>
      </c>
      <c r="H225" t="str">
        <f>IF(B226="yes",VLOOKUP(A226,'FAO crop mapping'!$A$22:$H$60,6,FALSE), "")</f>
        <v/>
      </c>
      <c r="I225" t="str">
        <f>IF(B226="yes",VLOOKUP(A226,'FAO crop mapping'!$A$22:$H$60,7,FALSE), "")</f>
        <v/>
      </c>
      <c r="J225" t="str">
        <f>IF(B226="yes",VLOOKUP(A226,'FAO crop mapping'!$A$22:$H$60,8,FALSE), "")</f>
        <v/>
      </c>
    </row>
    <row r="226" spans="1:10" x14ac:dyDescent="0.25">
      <c r="A226" t="s">
        <v>291</v>
      </c>
      <c r="B226" t="s">
        <v>80</v>
      </c>
      <c r="C226" t="s">
        <v>80</v>
      </c>
      <c r="D226" t="str">
        <f>IF(B226="yes",VLOOKUP(A226,'FAO crop mapping'!$A$22:$H$60,2,FALSE), "")</f>
        <v/>
      </c>
      <c r="E226" t="str">
        <f>IF(B226="yes",VLOOKUP(A226,'FAO crop mapping'!$A$22:$H$60,3,FALSE), "")</f>
        <v/>
      </c>
      <c r="F226" t="str">
        <f>IF(B226="yes",VLOOKUP(A226,'FAO crop mapping'!$A$22:$H$60,4,FALSE), "")</f>
        <v/>
      </c>
      <c r="G226" t="str">
        <f>IF(B226="yes",VLOOKUP(A226,'FAO crop mapping'!$A$22:$H$60,5,FALSE), "")</f>
        <v/>
      </c>
      <c r="H226" t="e">
        <f>IF(B227="yes",VLOOKUP(A227,'FAO crop mapping'!$A$22:$H$60,6,FALSE), "")</f>
        <v>#N/A</v>
      </c>
      <c r="I226" t="e">
        <f>IF(B227="yes",VLOOKUP(A227,'FAO crop mapping'!$A$22:$H$60,7,FALSE), "")</f>
        <v>#N/A</v>
      </c>
      <c r="J226" t="e">
        <f>IF(B227="yes",VLOOKUP(A227,'FAO crop mapping'!$A$22:$H$60,8,FALSE), "")</f>
        <v>#N/A</v>
      </c>
    </row>
    <row r="227" spans="1:10" x14ac:dyDescent="0.25">
      <c r="A227" t="s">
        <v>17</v>
      </c>
      <c r="B227" t="s">
        <v>79</v>
      </c>
      <c r="C227" t="s">
        <v>79</v>
      </c>
      <c r="D227" t="e">
        <f>IF(B227="yes",VLOOKUP(A227,'FAO crop mapping'!$A$22:$H$60,2,FALSE), "")</f>
        <v>#N/A</v>
      </c>
      <c r="E227" t="e">
        <f>IF(B227="yes",VLOOKUP(A227,'FAO crop mapping'!$A$22:$H$60,3,FALSE), "")</f>
        <v>#N/A</v>
      </c>
      <c r="F227" t="e">
        <f>IF(B227="yes",VLOOKUP(A227,'FAO crop mapping'!$A$22:$H$60,4,FALSE), "")</f>
        <v>#N/A</v>
      </c>
      <c r="G227" t="e">
        <f>IF(B227="yes",VLOOKUP(A227,'FAO crop mapping'!$A$22:$H$60,5,FALSE), "")</f>
        <v>#N/A</v>
      </c>
      <c r="H227">
        <f>IF(B228="yes",VLOOKUP(A228,'FAO crop mapping'!$A$22:$H$60,6,FALSE), "")</f>
        <v>1.6</v>
      </c>
      <c r="I227">
        <f>IF(B228="yes",VLOOKUP(A228,'FAO crop mapping'!$A$22:$H$60,7,FALSE), "")</f>
        <v>0</v>
      </c>
      <c r="J227">
        <f>IF(B228="yes",VLOOKUP(A228,'FAO crop mapping'!$A$22:$H$60,8,FALSE), "")</f>
        <v>1.0999999999999999E-2</v>
      </c>
    </row>
    <row r="228" spans="1:10" x14ac:dyDescent="0.25">
      <c r="A228" t="s">
        <v>22</v>
      </c>
      <c r="B228" t="s">
        <v>79</v>
      </c>
      <c r="C228" t="s">
        <v>79</v>
      </c>
      <c r="D228">
        <f>IF(B228="yes",VLOOKUP(A228,'FAO crop mapping'!$A$22:$H$60,2,FALSE), "")</f>
        <v>1</v>
      </c>
      <c r="E228">
        <f>IF(B228="yes",VLOOKUP(A228,'FAO crop mapping'!$A$22:$H$60,3,FALSE), "")</f>
        <v>1.0900000000000001</v>
      </c>
      <c r="F228">
        <f>IF(B228="yes",VLOOKUP(A228,'FAO crop mapping'!$A$22:$H$60,4,FALSE), "")</f>
        <v>0.88</v>
      </c>
      <c r="G228">
        <f>IF(B228="yes",VLOOKUP(A228,'FAO crop mapping'!$A$22:$H$60,5,FALSE), "")</f>
        <v>5.0000000000000001E-3</v>
      </c>
      <c r="H228" t="e">
        <f>IF(B229="yes",VLOOKUP(A229,'FAO crop mapping'!$A$22:$H$60,6,FALSE), "")</f>
        <v>#N/A</v>
      </c>
      <c r="I228" t="e">
        <f>IF(B229="yes",VLOOKUP(A229,'FAO crop mapping'!$A$22:$H$60,7,FALSE), "")</f>
        <v>#N/A</v>
      </c>
      <c r="J228" t="e">
        <f>IF(B229="yes",VLOOKUP(A229,'FAO crop mapping'!$A$22:$H$60,8,FALSE), "")</f>
        <v>#N/A</v>
      </c>
    </row>
    <row r="229" spans="1:10" x14ac:dyDescent="0.25">
      <c r="A229" t="s">
        <v>292</v>
      </c>
      <c r="B229" t="s">
        <v>79</v>
      </c>
      <c r="C229" t="s">
        <v>80</v>
      </c>
      <c r="D229" t="e">
        <f>IF(B229="yes",VLOOKUP(A229,'FAO crop mapping'!$A$22:$H$60,2,FALSE), "")</f>
        <v>#N/A</v>
      </c>
      <c r="E229" t="e">
        <f>IF(B229="yes",VLOOKUP(A229,'FAO crop mapping'!$A$22:$H$60,3,FALSE), "")</f>
        <v>#N/A</v>
      </c>
      <c r="F229" t="e">
        <f>IF(B229="yes",VLOOKUP(A229,'FAO crop mapping'!$A$22:$H$60,4,FALSE), "")</f>
        <v>#N/A</v>
      </c>
      <c r="G229" t="e">
        <f>IF(B229="yes",VLOOKUP(A229,'FAO crop mapping'!$A$22:$H$60,5,FALSE), "")</f>
        <v>#N/A</v>
      </c>
      <c r="H229" t="str">
        <f>IF(B230="yes",VLOOKUP(A230,'FAO crop mapping'!$A$22:$H$60,6,FALSE), "")</f>
        <v/>
      </c>
      <c r="I229" t="str">
        <f>IF(B230="yes",VLOOKUP(A230,'FAO crop mapping'!$A$22:$H$60,7,FALSE), "")</f>
        <v/>
      </c>
      <c r="J229" t="str">
        <f>IF(B230="yes",VLOOKUP(A230,'FAO crop mapping'!$A$22:$H$60,8,FALSE), "")</f>
        <v/>
      </c>
    </row>
    <row r="230" spans="1:10" x14ac:dyDescent="0.25">
      <c r="A230" t="s">
        <v>293</v>
      </c>
      <c r="B230" t="s">
        <v>80</v>
      </c>
      <c r="C230" t="s">
        <v>80</v>
      </c>
      <c r="D230" t="str">
        <f>IF(B230="yes",VLOOKUP(A230,'FAO crop mapping'!$A$22:$H$60,2,FALSE), "")</f>
        <v/>
      </c>
      <c r="E230" t="str">
        <f>IF(B230="yes",VLOOKUP(A230,'FAO crop mapping'!$A$22:$H$60,3,FALSE), "")</f>
        <v/>
      </c>
      <c r="F230" t="str">
        <f>IF(B230="yes",VLOOKUP(A230,'FAO crop mapping'!$A$22:$H$60,4,FALSE), "")</f>
        <v/>
      </c>
      <c r="G230" t="str">
        <f>IF(B230="yes",VLOOKUP(A230,'FAO crop mapping'!$A$22:$H$60,5,FALSE), "")</f>
        <v/>
      </c>
      <c r="H230" t="str">
        <f>IF(B231="yes",VLOOKUP(A231,'FAO crop mapping'!$A$22:$H$60,6,FALSE), "")</f>
        <v/>
      </c>
      <c r="I230" t="str">
        <f>IF(B231="yes",VLOOKUP(A231,'FAO crop mapping'!$A$22:$H$60,7,FALSE), "")</f>
        <v/>
      </c>
      <c r="J230" t="str">
        <f>IF(B231="yes",VLOOKUP(A231,'FAO crop mapping'!$A$22:$H$60,8,FALSE), "")</f>
        <v/>
      </c>
    </row>
    <row r="231" spans="1:10" x14ac:dyDescent="0.25">
      <c r="A231" t="s">
        <v>294</v>
      </c>
      <c r="B231" t="s">
        <v>80</v>
      </c>
      <c r="C231" t="s">
        <v>80</v>
      </c>
      <c r="D231" t="str">
        <f>IF(B231="yes",VLOOKUP(A231,'FAO crop mapping'!$A$22:$H$60,2,FALSE), "")</f>
        <v/>
      </c>
      <c r="E231" t="str">
        <f>IF(B231="yes",VLOOKUP(A231,'FAO crop mapping'!$A$22:$H$60,3,FALSE), "")</f>
        <v/>
      </c>
      <c r="F231" t="str">
        <f>IF(B231="yes",VLOOKUP(A231,'FAO crop mapping'!$A$22:$H$60,4,FALSE), "")</f>
        <v/>
      </c>
      <c r="G231" t="str">
        <f>IF(B231="yes",VLOOKUP(A231,'FAO crop mapping'!$A$22:$H$60,5,FALSE), "")</f>
        <v/>
      </c>
      <c r="H231" t="e">
        <f>IF(B232="yes",VLOOKUP(A232,'FAO crop mapping'!$A$22:$H$60,6,FALSE), "")</f>
        <v>#N/A</v>
      </c>
      <c r="I231" t="e">
        <f>IF(B232="yes",VLOOKUP(A232,'FAO crop mapping'!$A$22:$H$60,7,FALSE), "")</f>
        <v>#N/A</v>
      </c>
      <c r="J231" t="e">
        <f>IF(B232="yes",VLOOKUP(A232,'FAO crop mapping'!$A$22:$H$60,8,FALSE), "")</f>
        <v>#N/A</v>
      </c>
    </row>
    <row r="232" spans="1:10" x14ac:dyDescent="0.25">
      <c r="A232" t="s">
        <v>295</v>
      </c>
      <c r="B232" t="s">
        <v>79</v>
      </c>
      <c r="C232" t="s">
        <v>80</v>
      </c>
      <c r="D232" t="e">
        <f>IF(B232="yes",VLOOKUP(A232,'FAO crop mapping'!$A$22:$H$60,2,FALSE), "")</f>
        <v>#N/A</v>
      </c>
      <c r="E232" t="e">
        <f>IF(B232="yes",VLOOKUP(A232,'FAO crop mapping'!$A$22:$H$60,3,FALSE), "")</f>
        <v>#N/A</v>
      </c>
      <c r="F232" t="e">
        <f>IF(B232="yes",VLOOKUP(A232,'FAO crop mapping'!$A$22:$H$60,4,FALSE), "")</f>
        <v>#N/A</v>
      </c>
      <c r="G232" t="e">
        <f>IF(B232="yes",VLOOKUP(A232,'FAO crop mapping'!$A$22:$H$60,5,FALSE), "")</f>
        <v>#N/A</v>
      </c>
      <c r="H232" t="str">
        <f>IF(B233="yes",VLOOKUP(A233,'FAO crop mapping'!$A$22:$H$60,6,FALSE), "")</f>
        <v/>
      </c>
      <c r="I232" t="str">
        <f>IF(B233="yes",VLOOKUP(A233,'FAO crop mapping'!$A$22:$H$60,7,FALSE), "")</f>
        <v/>
      </c>
      <c r="J232" t="str">
        <f>IF(B233="yes",VLOOKUP(A233,'FAO crop mapping'!$A$22:$H$60,8,FALSE), "")</f>
        <v/>
      </c>
    </row>
    <row r="233" spans="1:10" x14ac:dyDescent="0.25">
      <c r="A233" t="s">
        <v>296</v>
      </c>
      <c r="B233" t="s">
        <v>80</v>
      </c>
      <c r="C233" t="s">
        <v>80</v>
      </c>
      <c r="D233" t="str">
        <f>IF(B233="yes",VLOOKUP(A233,'FAO crop mapping'!$A$22:$H$60,2,FALSE), "")</f>
        <v/>
      </c>
      <c r="E233" t="str">
        <f>IF(B233="yes",VLOOKUP(A233,'FAO crop mapping'!$A$22:$H$60,3,FALSE), "")</f>
        <v/>
      </c>
      <c r="F233" t="str">
        <f>IF(B233="yes",VLOOKUP(A233,'FAO crop mapping'!$A$22:$H$60,4,FALSE), "")</f>
        <v/>
      </c>
      <c r="G233" t="str">
        <f>IF(B233="yes",VLOOKUP(A233,'FAO crop mapping'!$A$22:$H$60,5,FALSE), "")</f>
        <v/>
      </c>
      <c r="H233" t="str">
        <f>IF(B234="yes",VLOOKUP(A234,'FAO crop mapping'!$A$22:$H$60,6,FALSE), "")</f>
        <v/>
      </c>
      <c r="I233" t="str">
        <f>IF(B234="yes",VLOOKUP(A234,'FAO crop mapping'!$A$22:$H$60,7,FALSE), "")</f>
        <v/>
      </c>
      <c r="J233" t="str">
        <f>IF(B234="yes",VLOOKUP(A234,'FAO crop mapping'!$A$22:$H$60,8,FALSE), "")</f>
        <v/>
      </c>
    </row>
    <row r="234" spans="1:10" x14ac:dyDescent="0.25">
      <c r="A234" t="s">
        <v>297</v>
      </c>
      <c r="B234" t="s">
        <v>80</v>
      </c>
      <c r="C234" t="s">
        <v>80</v>
      </c>
      <c r="D234" t="str">
        <f>IF(B234="yes",VLOOKUP(A234,'FAO crop mapping'!$A$22:$H$60,2,FALSE), "")</f>
        <v/>
      </c>
      <c r="E234" t="str">
        <f>IF(B234="yes",VLOOKUP(A234,'FAO crop mapping'!$A$22:$H$60,3,FALSE), "")</f>
        <v/>
      </c>
      <c r="F234" t="str">
        <f>IF(B234="yes",VLOOKUP(A234,'FAO crop mapping'!$A$22:$H$60,4,FALSE), "")</f>
        <v/>
      </c>
      <c r="G234" t="str">
        <f>IF(B234="yes",VLOOKUP(A234,'FAO crop mapping'!$A$22:$H$60,5,FALSE), "")</f>
        <v/>
      </c>
      <c r="H234" t="str">
        <f>IF(B235="yes",VLOOKUP(A235,'FAO crop mapping'!$A$22:$H$60,6,FALSE), "")</f>
        <v/>
      </c>
      <c r="I234" t="str">
        <f>IF(B235="yes",VLOOKUP(A235,'FAO crop mapping'!$A$22:$H$60,7,FALSE), "")</f>
        <v/>
      </c>
      <c r="J234" t="str">
        <f>IF(B235="yes",VLOOKUP(A235,'FAO crop mapping'!$A$22:$H$60,8,FALSE), "")</f>
        <v/>
      </c>
    </row>
    <row r="235" spans="1:10" x14ac:dyDescent="0.25">
      <c r="A235" t="s">
        <v>298</v>
      </c>
      <c r="B235" t="s">
        <v>80</v>
      </c>
      <c r="C235" t="s">
        <v>80</v>
      </c>
      <c r="D235" t="str">
        <f>IF(B235="yes",VLOOKUP(A235,'FAO crop mapping'!$A$22:$H$60,2,FALSE), "")</f>
        <v/>
      </c>
      <c r="E235" t="str">
        <f>IF(B235="yes",VLOOKUP(A235,'FAO crop mapping'!$A$22:$H$60,3,FALSE), "")</f>
        <v/>
      </c>
      <c r="F235" t="str">
        <f>IF(B235="yes",VLOOKUP(A235,'FAO crop mapping'!$A$22:$H$60,4,FALSE), "")</f>
        <v/>
      </c>
      <c r="G235" t="str">
        <f>IF(B235="yes",VLOOKUP(A235,'FAO crop mapping'!$A$22:$H$60,5,FALSE), "")</f>
        <v/>
      </c>
      <c r="H235" t="str">
        <f>IF(B236="yes",VLOOKUP(A236,'FAO crop mapping'!$A$22:$H$60,6,FALSE), "")</f>
        <v/>
      </c>
      <c r="I235" t="str">
        <f>IF(B236="yes",VLOOKUP(A236,'FAO crop mapping'!$A$22:$H$60,7,FALSE), "")</f>
        <v/>
      </c>
      <c r="J235" t="str">
        <f>IF(B236="yes",VLOOKUP(A236,'FAO crop mapping'!$A$22:$H$60,8,FALSE), "")</f>
        <v/>
      </c>
    </row>
    <row r="236" spans="1:10" x14ac:dyDescent="0.25">
      <c r="A236" t="s">
        <v>299</v>
      </c>
      <c r="B236" t="s">
        <v>80</v>
      </c>
      <c r="C236" t="s">
        <v>80</v>
      </c>
      <c r="D236" t="str">
        <f>IF(B236="yes",VLOOKUP(A236,'FAO crop mapping'!$A$22:$H$60,2,FALSE), "")</f>
        <v/>
      </c>
      <c r="E236" t="str">
        <f>IF(B236="yes",VLOOKUP(A236,'FAO crop mapping'!$A$22:$H$60,3,FALSE), "")</f>
        <v/>
      </c>
      <c r="F236" t="str">
        <f>IF(B236="yes",VLOOKUP(A236,'FAO crop mapping'!$A$22:$H$60,4,FALSE), "")</f>
        <v/>
      </c>
      <c r="G236" t="str">
        <f>IF(B236="yes",VLOOKUP(A236,'FAO crop mapping'!$A$22:$H$60,5,FALSE), "")</f>
        <v/>
      </c>
      <c r="H236" t="str">
        <f>IF(B237="yes",VLOOKUP(A237,'FAO crop mapping'!$A$22:$H$60,6,FALSE), "")</f>
        <v/>
      </c>
      <c r="I236" t="str">
        <f>IF(B237="yes",VLOOKUP(A237,'FAO crop mapping'!$A$22:$H$60,7,FALSE), "")</f>
        <v/>
      </c>
      <c r="J236" t="str">
        <f>IF(B237="yes",VLOOKUP(A237,'FAO crop mapping'!$A$22:$H$60,8,FALSE), "")</f>
        <v/>
      </c>
    </row>
    <row r="237" spans="1:10" x14ac:dyDescent="0.25">
      <c r="A237" t="s">
        <v>300</v>
      </c>
      <c r="B237" t="s">
        <v>80</v>
      </c>
      <c r="C237" t="s">
        <v>80</v>
      </c>
      <c r="D237" t="str">
        <f>IF(B237="yes",VLOOKUP(A237,'FAO crop mapping'!$A$22:$H$60,2,FALSE), "")</f>
        <v/>
      </c>
      <c r="E237" t="str">
        <f>IF(B237="yes",VLOOKUP(A237,'FAO crop mapping'!$A$22:$H$60,3,FALSE), "")</f>
        <v/>
      </c>
      <c r="F237" t="str">
        <f>IF(B237="yes",VLOOKUP(A237,'FAO crop mapping'!$A$22:$H$60,4,FALSE), "")</f>
        <v/>
      </c>
      <c r="G237" t="str">
        <f>IF(B237="yes",VLOOKUP(A237,'FAO crop mapping'!$A$22:$H$60,5,FALSE), "")</f>
        <v/>
      </c>
      <c r="H237" t="str">
        <f>IF(B238="yes",VLOOKUP(A238,'FAO crop mapping'!$A$22:$H$60,6,FALSE), "")</f>
        <v/>
      </c>
      <c r="I237" t="str">
        <f>IF(B238="yes",VLOOKUP(A238,'FAO crop mapping'!$A$22:$H$60,7,FALSE), "")</f>
        <v/>
      </c>
      <c r="J237" t="str">
        <f>IF(B238="yes",VLOOKUP(A238,'FAO crop mapping'!$A$22:$H$60,8,FALSE), "")</f>
        <v/>
      </c>
    </row>
    <row r="238" spans="1:10" x14ac:dyDescent="0.25">
      <c r="A238" t="s">
        <v>301</v>
      </c>
      <c r="B238" t="s">
        <v>80</v>
      </c>
      <c r="C238" t="s">
        <v>80</v>
      </c>
      <c r="D238" t="str">
        <f>IF(B238="yes",VLOOKUP(A238,'FAO crop mapping'!$A$22:$H$60,2,FALSE), "")</f>
        <v/>
      </c>
      <c r="E238" t="str">
        <f>IF(B238="yes",VLOOKUP(A238,'FAO crop mapping'!$A$22:$H$60,3,FALSE), "")</f>
        <v/>
      </c>
      <c r="F238" t="str">
        <f>IF(B238="yes",VLOOKUP(A238,'FAO crop mapping'!$A$22:$H$60,4,FALSE), "")</f>
        <v/>
      </c>
      <c r="G238" t="str">
        <f>IF(B238="yes",VLOOKUP(A238,'FAO crop mapping'!$A$22:$H$60,5,FALSE), "")</f>
        <v/>
      </c>
      <c r="H238" t="str">
        <f>IF(B239="yes",VLOOKUP(A239,'FAO crop mapping'!$A$22:$H$60,6,FALSE), "")</f>
        <v/>
      </c>
      <c r="I238" t="str">
        <f>IF(B239="yes",VLOOKUP(A239,'FAO crop mapping'!$A$22:$H$60,7,FALSE), "")</f>
        <v/>
      </c>
      <c r="J238" t="str">
        <f>IF(B239="yes",VLOOKUP(A239,'FAO crop mapping'!$A$22:$H$60,8,FALSE), "")</f>
        <v/>
      </c>
    </row>
    <row r="239" spans="1:10" x14ac:dyDescent="0.25">
      <c r="A239" t="s">
        <v>302</v>
      </c>
      <c r="B239" t="s">
        <v>80</v>
      </c>
      <c r="C239" t="s">
        <v>80</v>
      </c>
      <c r="D239" t="str">
        <f>IF(B239="yes",VLOOKUP(A239,'FAO crop mapping'!$A$22:$H$60,2,FALSE), "")</f>
        <v/>
      </c>
      <c r="E239" t="str">
        <f>IF(B239="yes",VLOOKUP(A239,'FAO crop mapping'!$A$22:$H$60,3,FALSE), "")</f>
        <v/>
      </c>
      <c r="F239" t="str">
        <f>IF(B239="yes",VLOOKUP(A239,'FAO crop mapping'!$A$22:$H$60,4,FALSE), "")</f>
        <v/>
      </c>
      <c r="G239" t="str">
        <f>IF(B239="yes",VLOOKUP(A239,'FAO crop mapping'!$A$22:$H$60,5,FALSE), "")</f>
        <v/>
      </c>
      <c r="H239" t="str">
        <f>IF(B240="yes",VLOOKUP(A240,'FAO crop mapping'!$A$22:$H$60,6,FALSE), "")</f>
        <v/>
      </c>
      <c r="I239" t="str">
        <f>IF(B240="yes",VLOOKUP(A240,'FAO crop mapping'!$A$22:$H$60,7,FALSE), "")</f>
        <v/>
      </c>
      <c r="J239" t="str">
        <f>IF(B240="yes",VLOOKUP(A240,'FAO crop mapping'!$A$22:$H$60,8,FALSE), "")</f>
        <v/>
      </c>
    </row>
    <row r="240" spans="1:10" x14ac:dyDescent="0.25">
      <c r="A240" t="s">
        <v>303</v>
      </c>
      <c r="B240" t="s">
        <v>80</v>
      </c>
      <c r="C240" t="s">
        <v>80</v>
      </c>
      <c r="D240" t="str">
        <f>IF(B240="yes",VLOOKUP(A240,'FAO crop mapping'!$A$22:$H$60,2,FALSE), "")</f>
        <v/>
      </c>
      <c r="E240" t="str">
        <f>IF(B240="yes",VLOOKUP(A240,'FAO crop mapping'!$A$22:$H$60,3,FALSE), "")</f>
        <v/>
      </c>
      <c r="F240" t="str">
        <f>IF(B240="yes",VLOOKUP(A240,'FAO crop mapping'!$A$22:$H$60,4,FALSE), "")</f>
        <v/>
      </c>
      <c r="G240" t="str">
        <f>IF(B240="yes",VLOOKUP(A240,'FAO crop mapping'!$A$22:$H$60,5,FALSE), "")</f>
        <v/>
      </c>
      <c r="H240" t="str">
        <f>IF(B241="yes",VLOOKUP(A241,'FAO crop mapping'!$A$22:$H$60,6,FALSE), "")</f>
        <v/>
      </c>
      <c r="I240" t="str">
        <f>IF(B241="yes",VLOOKUP(A241,'FAO crop mapping'!$A$22:$H$60,7,FALSE), "")</f>
        <v/>
      </c>
      <c r="J240" t="str">
        <f>IF(B241="yes",VLOOKUP(A241,'FAO crop mapping'!$A$22:$H$60,8,FALSE), "")</f>
        <v/>
      </c>
    </row>
    <row r="241" spans="1:10" x14ac:dyDescent="0.25">
      <c r="A241" t="s">
        <v>304</v>
      </c>
      <c r="B241" t="s">
        <v>80</v>
      </c>
      <c r="C241" t="s">
        <v>80</v>
      </c>
      <c r="D241" t="str">
        <f>IF(B241="yes",VLOOKUP(A241,'FAO crop mapping'!$A$22:$H$60,2,FALSE), "")</f>
        <v/>
      </c>
      <c r="E241" t="str">
        <f>IF(B241="yes",VLOOKUP(A241,'FAO crop mapping'!$A$22:$H$60,3,FALSE), "")</f>
        <v/>
      </c>
      <c r="F241" t="str">
        <f>IF(B241="yes",VLOOKUP(A241,'FAO crop mapping'!$A$22:$H$60,4,FALSE), "")</f>
        <v/>
      </c>
      <c r="G241" t="str">
        <f>IF(B241="yes",VLOOKUP(A241,'FAO crop mapping'!$A$22:$H$60,5,FALSE), "")</f>
        <v/>
      </c>
      <c r="H241" t="str">
        <f>IF(B242="yes",VLOOKUP(A242,'FAO crop mapping'!$A$22:$H$60,6,FALSE), "")</f>
        <v/>
      </c>
      <c r="I241" t="str">
        <f>IF(B242="yes",VLOOKUP(A242,'FAO crop mapping'!$A$22:$H$60,7,FALSE), "")</f>
        <v/>
      </c>
      <c r="J241" t="str">
        <f>IF(B242="yes",VLOOKUP(A242,'FAO crop mapping'!$A$22:$H$60,8,FALSE), "")</f>
        <v/>
      </c>
    </row>
    <row r="242" spans="1:10" x14ac:dyDescent="0.25">
      <c r="A242" t="s">
        <v>305</v>
      </c>
      <c r="B242" t="s">
        <v>80</v>
      </c>
      <c r="C242" t="s">
        <v>80</v>
      </c>
      <c r="D242" t="str">
        <f>IF(B242="yes",VLOOKUP(A242,'FAO crop mapping'!$A$22:$H$60,2,FALSE), "")</f>
        <v/>
      </c>
      <c r="E242" t="str">
        <f>IF(B242="yes",VLOOKUP(A242,'FAO crop mapping'!$A$22:$H$60,3,FALSE), "")</f>
        <v/>
      </c>
      <c r="F242" t="str">
        <f>IF(B242="yes",VLOOKUP(A242,'FAO crop mapping'!$A$22:$H$60,4,FALSE), "")</f>
        <v/>
      </c>
      <c r="G242" t="str">
        <f>IF(B242="yes",VLOOKUP(A242,'FAO crop mapping'!$A$22:$H$60,5,FALSE), "")</f>
        <v/>
      </c>
      <c r="H242">
        <f>IF(B243="yes",VLOOKUP(A243,'FAO crop mapping'!$A$22:$H$60,6,FALSE), "")</f>
        <v>1.4</v>
      </c>
      <c r="I242">
        <f>IF(B243="yes",VLOOKUP(A243,'FAO crop mapping'!$A$22:$H$60,7,FALSE), "")</f>
        <v>0</v>
      </c>
      <c r="J242">
        <f>IF(B243="yes",VLOOKUP(A243,'FAO crop mapping'!$A$22:$H$60,8,FALSE), "")</f>
        <v>6.0000000000000001E-3</v>
      </c>
    </row>
    <row r="243" spans="1:10" x14ac:dyDescent="0.25">
      <c r="A243" t="s">
        <v>21</v>
      </c>
      <c r="B243" t="s">
        <v>79</v>
      </c>
      <c r="C243" t="s">
        <v>79</v>
      </c>
      <c r="D243">
        <f>IF(B243="yes",VLOOKUP(A243,'FAO crop mapping'!$A$22:$H$60,2,FALSE), "")</f>
        <v>0.89</v>
      </c>
      <c r="E243">
        <f>IF(B243="yes",VLOOKUP(A243,'FAO crop mapping'!$A$22:$H$60,3,FALSE), "")</f>
        <v>0.88</v>
      </c>
      <c r="F243">
        <f>IF(B243="yes",VLOOKUP(A243,'FAO crop mapping'!$A$22:$H$60,4,FALSE), "")</f>
        <v>1.33</v>
      </c>
      <c r="G243">
        <f>IF(B243="yes",VLOOKUP(A243,'FAO crop mapping'!$A$22:$H$60,5,FALSE), "")</f>
        <v>7.0000000000000001E-3</v>
      </c>
      <c r="H243" t="e">
        <f>IF(B244="yes",VLOOKUP(A244,'FAO crop mapping'!$A$22:$H$60,6,FALSE), "")</f>
        <v>#N/A</v>
      </c>
      <c r="I243" t="e">
        <f>IF(B244="yes",VLOOKUP(A244,'FAO crop mapping'!$A$22:$H$60,7,FALSE), "")</f>
        <v>#N/A</v>
      </c>
      <c r="J243" t="e">
        <f>IF(B244="yes",VLOOKUP(A244,'FAO crop mapping'!$A$22:$H$60,8,FALSE), "")</f>
        <v>#N/A</v>
      </c>
    </row>
    <row r="244" spans="1:10" x14ac:dyDescent="0.25">
      <c r="A244" t="s">
        <v>306</v>
      </c>
      <c r="B244" t="s">
        <v>79</v>
      </c>
      <c r="C244" t="s">
        <v>80</v>
      </c>
      <c r="D244" t="e">
        <f>IF(B244="yes",VLOOKUP(A244,'FAO crop mapping'!$A$22:$H$60,2,FALSE), "")</f>
        <v>#N/A</v>
      </c>
      <c r="E244" t="e">
        <f>IF(B244="yes",VLOOKUP(A244,'FAO crop mapping'!$A$22:$H$60,3,FALSE), "")</f>
        <v>#N/A</v>
      </c>
      <c r="F244" t="e">
        <f>IF(B244="yes",VLOOKUP(A244,'FAO crop mapping'!$A$22:$H$60,4,FALSE), "")</f>
        <v>#N/A</v>
      </c>
      <c r="G244" t="e">
        <f>IF(B244="yes",VLOOKUP(A244,'FAO crop mapping'!$A$22:$H$60,5,FALSE), "")</f>
        <v>#N/A</v>
      </c>
      <c r="H244" t="e">
        <f>IF(B245="yes",VLOOKUP(A245,'FAO crop mapping'!$A$22:$H$60,6,FALSE), "")</f>
        <v>#N/A</v>
      </c>
      <c r="I244" t="e">
        <f>IF(B245="yes",VLOOKUP(A245,'FAO crop mapping'!$A$22:$H$60,7,FALSE), "")</f>
        <v>#N/A</v>
      </c>
      <c r="J244" t="e">
        <f>IF(B245="yes",VLOOKUP(A245,'FAO crop mapping'!$A$22:$H$60,8,FALSE), "")</f>
        <v>#N/A</v>
      </c>
    </row>
    <row r="245" spans="1:10" x14ac:dyDescent="0.25">
      <c r="A245" t="s">
        <v>307</v>
      </c>
      <c r="B245" t="s">
        <v>79</v>
      </c>
      <c r="C245" t="s">
        <v>80</v>
      </c>
      <c r="D245" t="e">
        <f>IF(B245="yes",VLOOKUP(A245,'FAO crop mapping'!$A$22:$H$60,2,FALSE), "")</f>
        <v>#N/A</v>
      </c>
      <c r="E245" t="e">
        <f>IF(B245="yes",VLOOKUP(A245,'FAO crop mapping'!$A$22:$H$60,3,FALSE), "")</f>
        <v>#N/A</v>
      </c>
      <c r="F245" t="e">
        <f>IF(B245="yes",VLOOKUP(A245,'FAO crop mapping'!$A$22:$H$60,4,FALSE), "")</f>
        <v>#N/A</v>
      </c>
      <c r="G245" t="e">
        <f>IF(B245="yes",VLOOKUP(A245,'FAO crop mapping'!$A$22:$H$60,5,FALSE), "")</f>
        <v>#N/A</v>
      </c>
      <c r="H245" t="e">
        <f>IF(B246="yes",VLOOKUP(A246,'FAO crop mapping'!$A$22:$H$60,6,FALSE), "")</f>
        <v>#N/A</v>
      </c>
      <c r="I245" t="e">
        <f>IF(B246="yes",VLOOKUP(A246,'FAO crop mapping'!$A$22:$H$60,7,FALSE), "")</f>
        <v>#N/A</v>
      </c>
      <c r="J245" t="e">
        <f>IF(B246="yes",VLOOKUP(A246,'FAO crop mapping'!$A$22:$H$60,8,FALSE), "")</f>
        <v>#N/A</v>
      </c>
    </row>
    <row r="246" spans="1:10" x14ac:dyDescent="0.25">
      <c r="A246" t="s">
        <v>308</v>
      </c>
      <c r="B246" t="s">
        <v>79</v>
      </c>
      <c r="C246" t="s">
        <v>80</v>
      </c>
      <c r="D246" t="e">
        <f>IF(B246="yes",VLOOKUP(A246,'FAO crop mapping'!$A$22:$H$60,2,FALSE), "")</f>
        <v>#N/A</v>
      </c>
      <c r="E246" t="e">
        <f>IF(B246="yes",VLOOKUP(A246,'FAO crop mapping'!$A$22:$H$60,3,FALSE), "")</f>
        <v>#N/A</v>
      </c>
      <c r="F246" t="e">
        <f>IF(B246="yes",VLOOKUP(A246,'FAO crop mapping'!$A$22:$H$60,4,FALSE), "")</f>
        <v>#N/A</v>
      </c>
      <c r="G246" t="e">
        <f>IF(B246="yes",VLOOKUP(A246,'FAO crop mapping'!$A$22:$H$60,5,FALSE), "")</f>
        <v>#N/A</v>
      </c>
      <c r="H246" t="e">
        <f>IF(B247="yes",VLOOKUP(A247,'FAO crop mapping'!$A$22:$H$60,6,FALSE), "")</f>
        <v>#N/A</v>
      </c>
      <c r="I246" t="e">
        <f>IF(B247="yes",VLOOKUP(A247,'FAO crop mapping'!$A$22:$H$60,7,FALSE), "")</f>
        <v>#N/A</v>
      </c>
      <c r="J246" t="e">
        <f>IF(B247="yes",VLOOKUP(A247,'FAO crop mapping'!$A$22:$H$60,8,FALSE), "")</f>
        <v>#N/A</v>
      </c>
    </row>
    <row r="247" spans="1:10" x14ac:dyDescent="0.25">
      <c r="A247" t="s">
        <v>309</v>
      </c>
      <c r="B247" t="s">
        <v>79</v>
      </c>
      <c r="C247" t="s">
        <v>80</v>
      </c>
      <c r="D247" t="e">
        <f>IF(B247="yes",VLOOKUP(A247,'FAO crop mapping'!$A$22:$H$60,2,FALSE), "")</f>
        <v>#N/A</v>
      </c>
      <c r="E247" t="e">
        <f>IF(B247="yes",VLOOKUP(A247,'FAO crop mapping'!$A$22:$H$60,3,FALSE), "")</f>
        <v>#N/A</v>
      </c>
      <c r="F247" t="e">
        <f>IF(B247="yes",VLOOKUP(A247,'FAO crop mapping'!$A$22:$H$60,4,FALSE), "")</f>
        <v>#N/A</v>
      </c>
      <c r="G247" t="e">
        <f>IF(B247="yes",VLOOKUP(A247,'FAO crop mapping'!$A$22:$H$60,5,FALSE), "")</f>
        <v>#N/A</v>
      </c>
      <c r="H247" t="e">
        <f>IF(B248="yes",VLOOKUP(A248,'FAO crop mapping'!$A$22:$H$60,6,FALSE), "")</f>
        <v>#N/A</v>
      </c>
      <c r="I247" t="e">
        <f>IF(B248="yes",VLOOKUP(A248,'FAO crop mapping'!$A$22:$H$60,7,FALSE), "")</f>
        <v>#N/A</v>
      </c>
      <c r="J247" t="e">
        <f>IF(B248="yes",VLOOKUP(A248,'FAO crop mapping'!$A$22:$H$60,8,FALSE), "")</f>
        <v>#N/A</v>
      </c>
    </row>
    <row r="248" spans="1:10" x14ac:dyDescent="0.25">
      <c r="A248" t="s">
        <v>310</v>
      </c>
      <c r="B248" t="s">
        <v>79</v>
      </c>
      <c r="C248" t="s">
        <v>80</v>
      </c>
      <c r="D248" t="e">
        <f>IF(B248="yes",VLOOKUP(A248,'FAO crop mapping'!$A$22:$H$60,2,FALSE), "")</f>
        <v>#N/A</v>
      </c>
      <c r="E248" t="e">
        <f>IF(B248="yes",VLOOKUP(A248,'FAO crop mapping'!$A$22:$H$60,3,FALSE), "")</f>
        <v>#N/A</v>
      </c>
      <c r="F248" t="e">
        <f>IF(B248="yes",VLOOKUP(A248,'FAO crop mapping'!$A$22:$H$60,4,FALSE), "")</f>
        <v>#N/A</v>
      </c>
      <c r="G248" t="e">
        <f>IF(B248="yes",VLOOKUP(A248,'FAO crop mapping'!$A$22:$H$60,5,FALSE), "")</f>
        <v>#N/A</v>
      </c>
      <c r="H248">
        <f>IF(B249="yes",VLOOKUP(A249,'FAO crop mapping'!$A$22:$H$60,6,FALSE), "")</f>
        <v>2.1</v>
      </c>
      <c r="I248">
        <f>IF(B249="yes",VLOOKUP(A249,'FAO crop mapping'!$A$22:$H$60,7,FALSE), "")</f>
        <v>0.19</v>
      </c>
      <c r="J248">
        <f>IF(B249="yes",VLOOKUP(A249,'FAO crop mapping'!$A$22:$H$60,8,FALSE), "")</f>
        <v>8.0000000000000002E-3</v>
      </c>
    </row>
    <row r="249" spans="1:10" x14ac:dyDescent="0.25">
      <c r="A249" t="s">
        <v>59</v>
      </c>
      <c r="B249" t="s">
        <v>79</v>
      </c>
      <c r="C249" t="s">
        <v>80</v>
      </c>
      <c r="D249">
        <f>IF(B249="yes",VLOOKUP(A249,'FAO crop mapping'!$A$22:$H$60,2,FALSE), "")</f>
        <v>1</v>
      </c>
      <c r="E249">
        <f>IF(B249="yes",VLOOKUP(A249,'FAO crop mapping'!$A$22:$H$60,3,FALSE), "")</f>
        <v>1.1299999999999999</v>
      </c>
      <c r="F249">
        <f>IF(B249="yes",VLOOKUP(A249,'FAO crop mapping'!$A$22:$H$60,4,FALSE), "")</f>
        <v>0.85</v>
      </c>
      <c r="G249">
        <f>IF(B249="yes",VLOOKUP(A249,'FAO crop mapping'!$A$22:$H$60,5,FALSE), "")</f>
        <v>8.0000000000000002E-3</v>
      </c>
      <c r="H249">
        <f>IF(B250="yes",VLOOKUP(A250,'FAO crop mapping'!$A$22:$H$60,6,FALSE), "")</f>
        <v>0.4</v>
      </c>
      <c r="I249">
        <f>IF(B250="yes",VLOOKUP(A250,'FAO crop mapping'!$A$22:$H$60,7,FALSE), "")</f>
        <v>0.2</v>
      </c>
      <c r="J249">
        <f>IF(B250="yes",VLOOKUP(A250,'FAO crop mapping'!$A$22:$H$60,8,FALSE), "")</f>
        <v>1.4E-2</v>
      </c>
    </row>
    <row r="250" spans="1:10" x14ac:dyDescent="0.25">
      <c r="A250" t="s">
        <v>60</v>
      </c>
      <c r="B250" t="s">
        <v>79</v>
      </c>
      <c r="C250" t="s">
        <v>80</v>
      </c>
      <c r="D250">
        <f>IF(B250="yes",VLOOKUP(A250,'FAO crop mapping'!$A$22:$H$60,2,FALSE), "")</f>
        <v>0.22</v>
      </c>
      <c r="E250">
        <f>IF(B250="yes",VLOOKUP(A250,'FAO crop mapping'!$A$22:$H$60,3,FALSE), "")</f>
        <v>0.1</v>
      </c>
      <c r="F250">
        <f>IF(B250="yes",VLOOKUP(A250,'FAO crop mapping'!$A$22:$H$60,4,FALSE), "")</f>
        <v>1.06</v>
      </c>
      <c r="G250">
        <f>IF(B250="yes",VLOOKUP(A250,'FAO crop mapping'!$A$22:$H$60,5,FALSE), "")</f>
        <v>1.9E-2</v>
      </c>
      <c r="H250">
        <f>IF(B251="yes",VLOOKUP(A251,'FAO crop mapping'!$A$22:$H$60,6,FALSE), "")</f>
        <v>0.3</v>
      </c>
      <c r="I250">
        <f>IF(B251="yes",VLOOKUP(A251,'FAO crop mapping'!$A$22:$H$60,7,FALSE), "")</f>
        <v>0.8</v>
      </c>
      <c r="J250">
        <f>IF(B251="yes",VLOOKUP(A251,'FAO crop mapping'!$A$22:$H$60,8,FALSE), "")</f>
        <v>1.2E-2</v>
      </c>
    </row>
    <row r="251" spans="1:10" x14ac:dyDescent="0.25">
      <c r="A251" t="s">
        <v>61</v>
      </c>
      <c r="B251" t="s">
        <v>79</v>
      </c>
      <c r="C251" t="s">
        <v>80</v>
      </c>
      <c r="D251">
        <f>IF(B251="yes",VLOOKUP(A251,'FAO crop mapping'!$A$22:$H$60,2,FALSE), "")</f>
        <v>0.9</v>
      </c>
      <c r="E251">
        <f>IF(B251="yes",VLOOKUP(A251,'FAO crop mapping'!$A$22:$H$60,3,FALSE), "")</f>
        <v>0.3</v>
      </c>
      <c r="F251">
        <f>IF(B251="yes",VLOOKUP(A251,'FAO crop mapping'!$A$22:$H$60,4,FALSE), "")</f>
        <v>0</v>
      </c>
      <c r="G251">
        <f>IF(B251="yes",VLOOKUP(A251,'FAO crop mapping'!$A$22:$H$60,5,FALSE), "")</f>
        <v>1.4999999999999999E-2</v>
      </c>
      <c r="H251" t="e">
        <f>IF(B252="yes",VLOOKUP(A252,'FAO crop mapping'!$A$22:$H$60,6,FALSE), "")</f>
        <v>#N/A</v>
      </c>
      <c r="I251" t="e">
        <f>IF(B252="yes",VLOOKUP(A252,'FAO crop mapping'!$A$22:$H$60,7,FALSE), "")</f>
        <v>#N/A</v>
      </c>
      <c r="J251" t="e">
        <f>IF(B252="yes",VLOOKUP(A252,'FAO crop mapping'!$A$22:$H$60,8,FALSE), "")</f>
        <v>#N/A</v>
      </c>
    </row>
    <row r="252" spans="1:10" x14ac:dyDescent="0.25">
      <c r="A252" t="s">
        <v>311</v>
      </c>
      <c r="B252" t="s">
        <v>79</v>
      </c>
      <c r="C252" t="s">
        <v>80</v>
      </c>
      <c r="D252" t="e">
        <f>IF(B252="yes",VLOOKUP(A252,'FAO crop mapping'!$A$22:$H$60,2,FALSE), "")</f>
        <v>#N/A</v>
      </c>
      <c r="E252" t="e">
        <f>IF(B252="yes",VLOOKUP(A252,'FAO crop mapping'!$A$22:$H$60,3,FALSE), "")</f>
        <v>#N/A</v>
      </c>
      <c r="F252" t="e">
        <f>IF(B252="yes",VLOOKUP(A252,'FAO crop mapping'!$A$22:$H$60,4,FALSE), "")</f>
        <v>#N/A</v>
      </c>
      <c r="G252" t="e">
        <f>IF(B252="yes",VLOOKUP(A252,'FAO crop mapping'!$A$22:$H$60,5,FALSE), "")</f>
        <v>#N/A</v>
      </c>
      <c r="H252" t="e">
        <f>IF(B253="yes",VLOOKUP(A253,'FAO crop mapping'!$A$22:$H$60,6,FALSE), "")</f>
        <v>#N/A</v>
      </c>
      <c r="I252" t="e">
        <f>IF(B253="yes",VLOOKUP(A253,'FAO crop mapping'!$A$22:$H$60,7,FALSE), "")</f>
        <v>#N/A</v>
      </c>
      <c r="J252" t="e">
        <f>IF(B253="yes",VLOOKUP(A253,'FAO crop mapping'!$A$22:$H$60,8,FALSE), "")</f>
        <v>#N/A</v>
      </c>
    </row>
    <row r="253" spans="1:10" x14ac:dyDescent="0.25">
      <c r="A253" t="s">
        <v>312</v>
      </c>
      <c r="B253" t="s">
        <v>79</v>
      </c>
      <c r="C253" t="s">
        <v>80</v>
      </c>
      <c r="D253" t="e">
        <f>IF(B253="yes",VLOOKUP(A253,'FAO crop mapping'!$A$22:$H$60,2,FALSE), "")</f>
        <v>#N/A</v>
      </c>
      <c r="E253" t="e">
        <f>IF(B253="yes",VLOOKUP(A253,'FAO crop mapping'!$A$22:$H$60,3,FALSE), "")</f>
        <v>#N/A</v>
      </c>
      <c r="F253" t="e">
        <f>IF(B253="yes",VLOOKUP(A253,'FAO crop mapping'!$A$22:$H$60,4,FALSE), "")</f>
        <v>#N/A</v>
      </c>
      <c r="G253" t="e">
        <f>IF(B253="yes",VLOOKUP(A253,'FAO crop mapping'!$A$22:$H$60,5,FALSE), "")</f>
        <v>#N/A</v>
      </c>
      <c r="H253">
        <f>IF(B254="yes",VLOOKUP(A254,'FAO crop mapping'!$A$22:$H$60,6,FALSE), "")</f>
        <v>0.4</v>
      </c>
      <c r="I253">
        <f>IF(B254="yes",VLOOKUP(A254,'FAO crop mapping'!$A$22:$H$60,7,FALSE), "")</f>
        <v>0.2</v>
      </c>
      <c r="J253">
        <f>IF(B254="yes",VLOOKUP(A254,'FAO crop mapping'!$A$22:$H$60,8,FALSE), "")</f>
        <v>1.4E-2</v>
      </c>
    </row>
    <row r="254" spans="1:10" x14ac:dyDescent="0.25">
      <c r="A254" t="s">
        <v>62</v>
      </c>
      <c r="B254" t="s">
        <v>79</v>
      </c>
      <c r="C254" t="s">
        <v>79</v>
      </c>
      <c r="D254">
        <f>IF(B254="yes",VLOOKUP(A254,'FAO crop mapping'!$A$22:$H$60,2,FALSE), "")</f>
        <v>0.22</v>
      </c>
      <c r="E254">
        <f>IF(B254="yes",VLOOKUP(A254,'FAO crop mapping'!$A$22:$H$60,3,FALSE), "")</f>
        <v>0.1</v>
      </c>
      <c r="F254">
        <f>IF(B254="yes",VLOOKUP(A254,'FAO crop mapping'!$A$22:$H$60,4,FALSE), "")</f>
        <v>1.06</v>
      </c>
      <c r="G254">
        <f>IF(B254="yes",VLOOKUP(A254,'FAO crop mapping'!$A$22:$H$60,5,FALSE), "")</f>
        <v>1.9E-2</v>
      </c>
      <c r="H254" t="str">
        <f>IF(B255="yes",VLOOKUP(A255,'FAO crop mapping'!$A$22:$H$60,6,FALSE), "")</f>
        <v/>
      </c>
      <c r="I254" t="str">
        <f>IF(B255="yes",VLOOKUP(A255,'FAO crop mapping'!$A$22:$H$60,7,FALSE), "")</f>
        <v/>
      </c>
      <c r="J254" t="str">
        <f>IF(B255="yes",VLOOKUP(A255,'FAO crop mapping'!$A$22:$H$60,8,FALSE), "")</f>
        <v/>
      </c>
    </row>
    <row r="255" spans="1:10" x14ac:dyDescent="0.25">
      <c r="A255" t="s">
        <v>313</v>
      </c>
      <c r="B255" t="s">
        <v>80</v>
      </c>
      <c r="C255" t="s">
        <v>80</v>
      </c>
      <c r="D255" t="str">
        <f>IF(B255="yes",VLOOKUP(A255,'FAO crop mapping'!$A$22:$H$60,2,FALSE), "")</f>
        <v/>
      </c>
      <c r="E255" t="str">
        <f>IF(B255="yes",VLOOKUP(A255,'FAO crop mapping'!$A$22:$H$60,3,FALSE), "")</f>
        <v/>
      </c>
      <c r="F255" t="str">
        <f>IF(B255="yes",VLOOKUP(A255,'FAO crop mapping'!$A$22:$H$60,4,FALSE), "")</f>
        <v/>
      </c>
      <c r="G255" t="str">
        <f>IF(B255="yes",VLOOKUP(A255,'FAO crop mapping'!$A$22:$H$60,5,FALSE), "")</f>
        <v/>
      </c>
      <c r="H255" t="e">
        <f>IF(B256="yes",VLOOKUP(A256,'FAO crop mapping'!$A$22:$H$60,6,FALSE), "")</f>
        <v>#N/A</v>
      </c>
      <c r="I255" t="e">
        <f>IF(B256="yes",VLOOKUP(A256,'FAO crop mapping'!$A$22:$H$60,7,FALSE), "")</f>
        <v>#N/A</v>
      </c>
      <c r="J255" t="e">
        <f>IF(B256="yes",VLOOKUP(A256,'FAO crop mapping'!$A$22:$H$60,8,FALSE), "")</f>
        <v>#N/A</v>
      </c>
    </row>
    <row r="256" spans="1:10" x14ac:dyDescent="0.25">
      <c r="A256" t="s">
        <v>314</v>
      </c>
      <c r="B256" t="s">
        <v>79</v>
      </c>
      <c r="C256" t="s">
        <v>80</v>
      </c>
      <c r="D256" t="e">
        <f>IF(B256="yes",VLOOKUP(A256,'FAO crop mapping'!$A$22:$H$60,2,FALSE), "")</f>
        <v>#N/A</v>
      </c>
      <c r="E256" t="e">
        <f>IF(B256="yes",VLOOKUP(A256,'FAO crop mapping'!$A$22:$H$60,3,FALSE), "")</f>
        <v>#N/A</v>
      </c>
      <c r="F256" t="e">
        <f>IF(B256="yes",VLOOKUP(A256,'FAO crop mapping'!$A$22:$H$60,4,FALSE), "")</f>
        <v>#N/A</v>
      </c>
      <c r="G256" t="e">
        <f>IF(B256="yes",VLOOKUP(A256,'FAO crop mapping'!$A$22:$H$60,5,FALSE), "")</f>
        <v>#N/A</v>
      </c>
      <c r="H256" t="e">
        <f>IF(B257="yes",VLOOKUP(A257,'FAO crop mapping'!$A$22:$H$60,6,FALSE), "")</f>
        <v>#N/A</v>
      </c>
      <c r="I256" t="e">
        <f>IF(B257="yes",VLOOKUP(A257,'FAO crop mapping'!$A$22:$H$60,7,FALSE), "")</f>
        <v>#N/A</v>
      </c>
      <c r="J256" t="e">
        <f>IF(B257="yes",VLOOKUP(A257,'FAO crop mapping'!$A$22:$H$60,8,FALSE), "")</f>
        <v>#N/A</v>
      </c>
    </row>
    <row r="257" spans="1:10" x14ac:dyDescent="0.25">
      <c r="A257" t="s">
        <v>315</v>
      </c>
      <c r="B257" t="s">
        <v>79</v>
      </c>
      <c r="C257" t="s">
        <v>80</v>
      </c>
      <c r="D257" t="e">
        <f>IF(B257="yes",VLOOKUP(A257,'FAO crop mapping'!$A$22:$H$60,2,FALSE), "")</f>
        <v>#N/A</v>
      </c>
      <c r="E257" t="e">
        <f>IF(B257="yes",VLOOKUP(A257,'FAO crop mapping'!$A$22:$H$60,3,FALSE), "")</f>
        <v>#N/A</v>
      </c>
      <c r="F257" t="e">
        <f>IF(B257="yes",VLOOKUP(A257,'FAO crop mapping'!$A$22:$H$60,4,FALSE), "")</f>
        <v>#N/A</v>
      </c>
      <c r="G257" t="e">
        <f>IF(B257="yes",VLOOKUP(A257,'FAO crop mapping'!$A$22:$H$60,5,FALSE), "")</f>
        <v>#N/A</v>
      </c>
      <c r="H257" t="e">
        <f>IF(B258="yes",VLOOKUP(A258,'FAO crop mapping'!$A$22:$H$60,6,FALSE), "")</f>
        <v>#N/A</v>
      </c>
      <c r="I257" t="e">
        <f>IF(B258="yes",VLOOKUP(A258,'FAO crop mapping'!$A$22:$H$60,7,FALSE), "")</f>
        <v>#N/A</v>
      </c>
      <c r="J257" t="e">
        <f>IF(B258="yes",VLOOKUP(A258,'FAO crop mapping'!$A$22:$H$60,8,FALSE), "")</f>
        <v>#N/A</v>
      </c>
    </row>
    <row r="258" spans="1:10" x14ac:dyDescent="0.25">
      <c r="A258" t="s">
        <v>316</v>
      </c>
      <c r="B258" t="s">
        <v>79</v>
      </c>
      <c r="C258" t="s">
        <v>80</v>
      </c>
      <c r="D258" t="e">
        <f>IF(B258="yes",VLOOKUP(A258,'FAO crop mapping'!$A$22:$H$60,2,FALSE), "")</f>
        <v>#N/A</v>
      </c>
      <c r="E258" t="e">
        <f>IF(B258="yes",VLOOKUP(A258,'FAO crop mapping'!$A$22:$H$60,3,FALSE), "")</f>
        <v>#N/A</v>
      </c>
      <c r="F258" t="e">
        <f>IF(B258="yes",VLOOKUP(A258,'FAO crop mapping'!$A$22:$H$60,4,FALSE), "")</f>
        <v>#N/A</v>
      </c>
      <c r="G258" t="e">
        <f>IF(B258="yes",VLOOKUP(A258,'FAO crop mapping'!$A$22:$H$60,5,FALSE), "")</f>
        <v>#N/A</v>
      </c>
      <c r="H258" t="e">
        <f>IF(B259="yes",VLOOKUP(A259,'FAO crop mapping'!$A$22:$H$60,6,FALSE), "")</f>
        <v>#N/A</v>
      </c>
      <c r="I258" t="e">
        <f>IF(B259="yes",VLOOKUP(A259,'FAO crop mapping'!$A$22:$H$60,7,FALSE), "")</f>
        <v>#N/A</v>
      </c>
      <c r="J258" t="e">
        <f>IF(B259="yes",VLOOKUP(A259,'FAO crop mapping'!$A$22:$H$60,8,FALSE), "")</f>
        <v>#N/A</v>
      </c>
    </row>
    <row r="259" spans="1:10" x14ac:dyDescent="0.25">
      <c r="A259" t="s">
        <v>317</v>
      </c>
      <c r="B259" t="s">
        <v>79</v>
      </c>
      <c r="C259" t="s">
        <v>79</v>
      </c>
      <c r="D259" t="e">
        <f>IF(B259="yes",VLOOKUP(A259,'FAO crop mapping'!$A$22:$H$60,2,FALSE), "")</f>
        <v>#N/A</v>
      </c>
      <c r="E259" t="e">
        <f>IF(B259="yes",VLOOKUP(A259,'FAO crop mapping'!$A$22:$H$60,3,FALSE), "")</f>
        <v>#N/A</v>
      </c>
      <c r="F259" t="e">
        <f>IF(B259="yes",VLOOKUP(A259,'FAO crop mapping'!$A$22:$H$60,4,FALSE), "")</f>
        <v>#N/A</v>
      </c>
      <c r="G259" t="e">
        <f>IF(B259="yes",VLOOKUP(A259,'FAO crop mapping'!$A$22:$H$60,5,FALSE), "")</f>
        <v>#N/A</v>
      </c>
      <c r="H259" t="e">
        <f>IF(B260="yes",VLOOKUP(A260,'FAO crop mapping'!$A$22:$H$60,6,FALSE), "")</f>
        <v>#N/A</v>
      </c>
      <c r="I259" t="e">
        <f>IF(B260="yes",VLOOKUP(A260,'FAO crop mapping'!$A$22:$H$60,7,FALSE), "")</f>
        <v>#N/A</v>
      </c>
      <c r="J259" t="e">
        <f>IF(B260="yes",VLOOKUP(A260,'FAO crop mapping'!$A$22:$H$60,8,FALSE), "")</f>
        <v>#N/A</v>
      </c>
    </row>
    <row r="260" spans="1:10" x14ac:dyDescent="0.25">
      <c r="A260" t="s">
        <v>318</v>
      </c>
      <c r="B260" t="s">
        <v>79</v>
      </c>
      <c r="C260" t="s">
        <v>79</v>
      </c>
      <c r="D260" t="e">
        <f>IF(B260="yes",VLOOKUP(A260,'FAO crop mapping'!$A$22:$H$60,2,FALSE), "")</f>
        <v>#N/A</v>
      </c>
      <c r="E260" t="e">
        <f>IF(B260="yes",VLOOKUP(A260,'FAO crop mapping'!$A$22:$H$60,3,FALSE), "")</f>
        <v>#N/A</v>
      </c>
      <c r="F260" t="e">
        <f>IF(B260="yes",VLOOKUP(A260,'FAO crop mapping'!$A$22:$H$60,4,FALSE), "")</f>
        <v>#N/A</v>
      </c>
      <c r="G260" t="e">
        <f>IF(B260="yes",VLOOKUP(A260,'FAO crop mapping'!$A$22:$H$60,5,FALSE), "")</f>
        <v>#N/A</v>
      </c>
      <c r="H260" t="e">
        <f>IF(B261="yes",VLOOKUP(A261,'FAO crop mapping'!$A$22:$H$60,6,FALSE), "")</f>
        <v>#N/A</v>
      </c>
      <c r="I260" t="e">
        <f>IF(B261="yes",VLOOKUP(A261,'FAO crop mapping'!$A$22:$H$60,7,FALSE), "")</f>
        <v>#N/A</v>
      </c>
      <c r="J260" t="e">
        <f>IF(B261="yes",VLOOKUP(A261,'FAO crop mapping'!$A$22:$H$60,8,FALSE), "")</f>
        <v>#N/A</v>
      </c>
    </row>
    <row r="261" spans="1:10" x14ac:dyDescent="0.25">
      <c r="A261" t="s">
        <v>319</v>
      </c>
      <c r="B261" t="s">
        <v>79</v>
      </c>
      <c r="C261" t="s">
        <v>79</v>
      </c>
      <c r="D261" t="e">
        <f>IF(B261="yes",VLOOKUP(A261,'FAO crop mapping'!$A$22:$H$60,2,FALSE), "")</f>
        <v>#N/A</v>
      </c>
      <c r="E261" t="e">
        <f>IF(B261="yes",VLOOKUP(A261,'FAO crop mapping'!$A$22:$H$60,3,FALSE), "")</f>
        <v>#N/A</v>
      </c>
      <c r="F261" t="e">
        <f>IF(B261="yes",VLOOKUP(A261,'FAO crop mapping'!$A$22:$H$60,4,FALSE), "")</f>
        <v>#N/A</v>
      </c>
      <c r="G261" t="e">
        <f>IF(B261="yes",VLOOKUP(A261,'FAO crop mapping'!$A$22:$H$60,5,FALSE), "")</f>
        <v>#N/A</v>
      </c>
      <c r="H261">
        <f>IF(B262="yes",VLOOKUP(A262,'FAO crop mapping'!$A$22:$H$60,6,FALSE), "")</f>
        <v>1.3</v>
      </c>
      <c r="I261">
        <f>IF(B262="yes",VLOOKUP(A262,'FAO crop mapping'!$A$22:$H$60,7,FALSE), "")</f>
        <v>0.22</v>
      </c>
      <c r="J261">
        <f>IF(B262="yes",VLOOKUP(A262,'FAO crop mapping'!$A$22:$H$60,8,FALSE), "")</f>
        <v>8.9999999999999993E-3</v>
      </c>
    </row>
    <row r="262" spans="1:10" x14ac:dyDescent="0.25">
      <c r="A262" t="s">
        <v>64</v>
      </c>
      <c r="B262" t="s">
        <v>79</v>
      </c>
      <c r="C262" t="s">
        <v>80</v>
      </c>
      <c r="D262">
        <f>IF(B262="yes",VLOOKUP(A262,'FAO crop mapping'!$A$22:$H$60,2,FALSE), "")</f>
        <v>0.88</v>
      </c>
      <c r="E262">
        <f>IF(B262="yes",VLOOKUP(A262,'FAO crop mapping'!$A$22:$H$60,3,FALSE), "")</f>
        <v>1.0900000000000001</v>
      </c>
      <c r="F262">
        <f>IF(B262="yes",VLOOKUP(A262,'FAO crop mapping'!$A$22:$H$60,4,FALSE), "")</f>
        <v>0.88</v>
      </c>
      <c r="G262">
        <f>IF(B262="yes",VLOOKUP(A262,'FAO crop mapping'!$A$22:$H$60,5,FALSE), "")</f>
        <v>6.0000000000000001E-3</v>
      </c>
      <c r="H262" t="str">
        <f>IF(B263="yes",VLOOKUP(A263,'FAO crop mapping'!$A$22:$H$60,6,FALSE), "")</f>
        <v/>
      </c>
      <c r="I262" t="str">
        <f>IF(B263="yes",VLOOKUP(A263,'FAO crop mapping'!$A$22:$H$60,7,FALSE), "")</f>
        <v/>
      </c>
      <c r="J262" t="str">
        <f>IF(B263="yes",VLOOKUP(A263,'FAO crop mapping'!$A$22:$H$60,8,FALSE), "")</f>
        <v/>
      </c>
    </row>
    <row r="263" spans="1:10" x14ac:dyDescent="0.25">
      <c r="A263" t="s">
        <v>320</v>
      </c>
      <c r="B263" t="s">
        <v>80</v>
      </c>
      <c r="C263" t="s">
        <v>80</v>
      </c>
      <c r="D263" t="str">
        <f>IF(B263="yes",VLOOKUP(A263,'FAO crop mapping'!$A$22:$H$60,2,FALSE), "")</f>
        <v/>
      </c>
      <c r="E263" t="str">
        <f>IF(B263="yes",VLOOKUP(A263,'FAO crop mapping'!$A$22:$H$60,3,FALSE), "")</f>
        <v/>
      </c>
      <c r="F263" t="str">
        <f>IF(B263="yes",VLOOKUP(A263,'FAO crop mapping'!$A$22:$H$60,4,FALSE), "")</f>
        <v/>
      </c>
      <c r="G263" t="str">
        <f>IF(B263="yes",VLOOKUP(A263,'FAO crop mapping'!$A$22:$H$60,5,FALSE), "")</f>
        <v/>
      </c>
      <c r="H263" t="e">
        <f>IF(B264="yes",VLOOKUP(A264,'FAO crop mapping'!$A$22:$H$60,6,FALSE), "")</f>
        <v>#N/A</v>
      </c>
      <c r="I263" t="e">
        <f>IF(B264="yes",VLOOKUP(A264,'FAO crop mapping'!$A$22:$H$60,7,FALSE), "")</f>
        <v>#N/A</v>
      </c>
      <c r="J263" t="e">
        <f>IF(B264="yes",VLOOKUP(A264,'FAO crop mapping'!$A$22:$H$60,8,FALSE), "")</f>
        <v>#N/A</v>
      </c>
    </row>
    <row r="264" spans="1:10" x14ac:dyDescent="0.25">
      <c r="A264" t="s">
        <v>321</v>
      </c>
      <c r="B264" t="s">
        <v>79</v>
      </c>
      <c r="C264" t="s">
        <v>80</v>
      </c>
      <c r="D264" t="e">
        <f>IF(B264="yes",VLOOKUP(A264,'FAO crop mapping'!$A$22:$H$60,2,FALSE), "")</f>
        <v>#N/A</v>
      </c>
      <c r="E264" t="e">
        <f>IF(B264="yes",VLOOKUP(A264,'FAO crop mapping'!$A$22:$H$60,3,FALSE), "")</f>
        <v>#N/A</v>
      </c>
      <c r="F264" t="e">
        <f>IF(B264="yes",VLOOKUP(A264,'FAO crop mapping'!$A$22:$H$60,4,FALSE), "")</f>
        <v>#N/A</v>
      </c>
      <c r="G264" t="e">
        <f>IF(B264="yes",VLOOKUP(A264,'FAO crop mapping'!$A$22:$H$60,5,FALSE), "")</f>
        <v>#N/A</v>
      </c>
      <c r="H264" t="str">
        <f>IF(B265="yes",VLOOKUP(A265,'FAO crop mapping'!$A$22:$H$60,6,FALSE), "")</f>
        <v/>
      </c>
      <c r="I264" t="str">
        <f>IF(B265="yes",VLOOKUP(A265,'FAO crop mapping'!$A$22:$H$60,7,FALSE), "")</f>
        <v/>
      </c>
      <c r="J264" t="str">
        <f>IF(B265="yes",VLOOKUP(A265,'FAO crop mapping'!$A$22:$H$60,8,FALSE), "")</f>
        <v/>
      </c>
    </row>
    <row r="265" spans="1:10" x14ac:dyDescent="0.25">
      <c r="A265" t="s">
        <v>322</v>
      </c>
      <c r="B265" t="s">
        <v>80</v>
      </c>
      <c r="C265" t="s">
        <v>80</v>
      </c>
      <c r="D265" t="str">
        <f>IF(B265="yes",VLOOKUP(A265,'FAO crop mapping'!$A$22:$H$60,2,FALSE), "")</f>
        <v/>
      </c>
      <c r="E265" t="str">
        <f>IF(B265="yes",VLOOKUP(A265,'FAO crop mapping'!$A$22:$H$60,3,FALSE), "")</f>
        <v/>
      </c>
      <c r="F265" t="str">
        <f>IF(B265="yes",VLOOKUP(A265,'FAO crop mapping'!$A$22:$H$60,4,FALSE), "")</f>
        <v/>
      </c>
      <c r="G265" t="str">
        <f>IF(B265="yes",VLOOKUP(A265,'FAO crop mapping'!$A$22:$H$60,5,FALSE), "")</f>
        <v/>
      </c>
      <c r="H265" t="e">
        <f>IF(B266="yes",VLOOKUP(A266,'FAO crop mapping'!$A$22:$H$60,6,FALSE), "")</f>
        <v>#N/A</v>
      </c>
      <c r="I265" t="e">
        <f>IF(B266="yes",VLOOKUP(A266,'FAO crop mapping'!$A$22:$H$60,7,FALSE), "")</f>
        <v>#N/A</v>
      </c>
      <c r="J265" t="e">
        <f>IF(B266="yes",VLOOKUP(A266,'FAO crop mapping'!$A$22:$H$60,8,FALSE), "")</f>
        <v>#N/A</v>
      </c>
    </row>
    <row r="266" spans="1:10" x14ac:dyDescent="0.25">
      <c r="A266" t="s">
        <v>323</v>
      </c>
      <c r="B266" t="s">
        <v>79</v>
      </c>
      <c r="C266" t="s">
        <v>80</v>
      </c>
      <c r="D266" t="e">
        <f>IF(B266="yes",VLOOKUP(A266,'FAO crop mapping'!$A$22:$H$60,2,FALSE), "")</f>
        <v>#N/A</v>
      </c>
      <c r="E266" t="e">
        <f>IF(B266="yes",VLOOKUP(A266,'FAO crop mapping'!$A$22:$H$60,3,FALSE), "")</f>
        <v>#N/A</v>
      </c>
      <c r="F266" t="e">
        <f>IF(B266="yes",VLOOKUP(A266,'FAO crop mapping'!$A$22:$H$60,4,FALSE), "")</f>
        <v>#N/A</v>
      </c>
      <c r="G266" t="e">
        <f>IF(B266="yes",VLOOKUP(A266,'FAO crop mapping'!$A$22:$H$60,5,FALSE), "")</f>
        <v>#N/A</v>
      </c>
      <c r="H266" t="e">
        <f>IF(B267="yes",VLOOKUP(A267,'FAO crop mapping'!$A$22:$H$60,6,FALSE), "")</f>
        <v>#N/A</v>
      </c>
      <c r="I266" t="e">
        <f>IF(B267="yes",VLOOKUP(A267,'FAO crop mapping'!$A$22:$H$60,7,FALSE), "")</f>
        <v>#N/A</v>
      </c>
      <c r="J266" t="e">
        <f>IF(B267="yes",VLOOKUP(A267,'FAO crop mapping'!$A$22:$H$60,8,FALSE), "")</f>
        <v>#N/A</v>
      </c>
    </row>
    <row r="267" spans="1:10" x14ac:dyDescent="0.25">
      <c r="A267" t="s">
        <v>324</v>
      </c>
      <c r="B267" t="s">
        <v>79</v>
      </c>
      <c r="C267" t="s">
        <v>80</v>
      </c>
      <c r="D267" t="e">
        <f>IF(B267="yes",VLOOKUP(A267,'FAO crop mapping'!$A$22:$H$60,2,FALSE), "")</f>
        <v>#N/A</v>
      </c>
      <c r="E267" t="e">
        <f>IF(B267="yes",VLOOKUP(A267,'FAO crop mapping'!$A$22:$H$60,3,FALSE), "")</f>
        <v>#N/A</v>
      </c>
      <c r="F267" t="e">
        <f>IF(B267="yes",VLOOKUP(A267,'FAO crop mapping'!$A$22:$H$60,4,FALSE), "")</f>
        <v>#N/A</v>
      </c>
      <c r="G267" t="e">
        <f>IF(B267="yes",VLOOKUP(A267,'FAO crop mapping'!$A$22:$H$60,5,FALSE), "")</f>
        <v>#N/A</v>
      </c>
      <c r="H267" t="e">
        <f>IF(B268="yes",VLOOKUP(A268,'FAO crop mapping'!$A$22:$H$60,6,FALSE), "")</f>
        <v>#N/A</v>
      </c>
      <c r="I267" t="e">
        <f>IF(B268="yes",VLOOKUP(A268,'FAO crop mapping'!$A$22:$H$60,7,FALSE), "")</f>
        <v>#N/A</v>
      </c>
      <c r="J267" t="e">
        <f>IF(B268="yes",VLOOKUP(A268,'FAO crop mapping'!$A$22:$H$60,8,FALSE), "")</f>
        <v>#N/A</v>
      </c>
    </row>
    <row r="268" spans="1:10" x14ac:dyDescent="0.25">
      <c r="A268" t="s">
        <v>325</v>
      </c>
      <c r="B268" t="s">
        <v>79</v>
      </c>
      <c r="C268" t="s">
        <v>80</v>
      </c>
      <c r="D268" t="e">
        <f>IF(B268="yes",VLOOKUP(A268,'FAO crop mapping'!$A$22:$H$60,2,FALSE), "")</f>
        <v>#N/A</v>
      </c>
      <c r="E268" t="e">
        <f>IF(B268="yes",VLOOKUP(A268,'FAO crop mapping'!$A$22:$H$60,3,FALSE), "")</f>
        <v>#N/A</v>
      </c>
      <c r="F268" t="e">
        <f>IF(B268="yes",VLOOKUP(A268,'FAO crop mapping'!$A$22:$H$60,4,FALSE), "")</f>
        <v>#N/A</v>
      </c>
      <c r="G268" t="e">
        <f>IF(B268="yes",VLOOKUP(A268,'FAO crop mapping'!$A$22:$H$60,5,FALSE), "")</f>
        <v>#N/A</v>
      </c>
      <c r="H268" t="e">
        <f>IF(B269="yes",VLOOKUP(A269,'FAO crop mapping'!$A$22:$H$60,6,FALSE), "")</f>
        <v>#N/A</v>
      </c>
      <c r="I268" t="e">
        <f>IF(B269="yes",VLOOKUP(A269,'FAO crop mapping'!$A$22:$H$60,7,FALSE), "")</f>
        <v>#N/A</v>
      </c>
      <c r="J268" t="e">
        <f>IF(B269="yes",VLOOKUP(A269,'FAO crop mapping'!$A$22:$H$60,8,FALSE), "")</f>
        <v>#N/A</v>
      </c>
    </row>
    <row r="269" spans="1:10" x14ac:dyDescent="0.25">
      <c r="A269" t="s">
        <v>326</v>
      </c>
      <c r="B269" t="s">
        <v>79</v>
      </c>
      <c r="C269" t="s">
        <v>80</v>
      </c>
      <c r="D269" t="e">
        <f>IF(B269="yes",VLOOKUP(A269,'FAO crop mapping'!$A$22:$H$60,2,FALSE), "")</f>
        <v>#N/A</v>
      </c>
      <c r="E269" t="e">
        <f>IF(B269="yes",VLOOKUP(A269,'FAO crop mapping'!$A$22:$H$60,3,FALSE), "")</f>
        <v>#N/A</v>
      </c>
      <c r="F269" t="e">
        <f>IF(B269="yes",VLOOKUP(A269,'FAO crop mapping'!$A$22:$H$60,4,FALSE), "")</f>
        <v>#N/A</v>
      </c>
      <c r="G269" t="e">
        <f>IF(B269="yes",VLOOKUP(A269,'FAO crop mapping'!$A$22:$H$60,5,FALSE), "")</f>
        <v>#N/A</v>
      </c>
      <c r="H269" t="e">
        <f>IF(B270="yes",VLOOKUP(A270,'FAO crop mapping'!$A$22:$H$60,6,FALSE), "")</f>
        <v>#N/A</v>
      </c>
      <c r="I269" t="e">
        <f>IF(B270="yes",VLOOKUP(A270,'FAO crop mapping'!$A$22:$H$60,7,FALSE), "")</f>
        <v>#N/A</v>
      </c>
      <c r="J269" t="e">
        <f>IF(B270="yes",VLOOKUP(A270,'FAO crop mapping'!$A$22:$H$60,8,FALSE), "")</f>
        <v>#N/A</v>
      </c>
    </row>
    <row r="270" spans="1:10" x14ac:dyDescent="0.25">
      <c r="A270" t="s">
        <v>327</v>
      </c>
      <c r="B270" t="s">
        <v>79</v>
      </c>
      <c r="C270" t="s">
        <v>80</v>
      </c>
      <c r="D270" t="e">
        <f>IF(B270="yes",VLOOKUP(A270,'FAO crop mapping'!$A$22:$H$60,2,FALSE), "")</f>
        <v>#N/A</v>
      </c>
      <c r="E270" t="e">
        <f>IF(B270="yes",VLOOKUP(A270,'FAO crop mapping'!$A$22:$H$60,3,FALSE), "")</f>
        <v>#N/A</v>
      </c>
      <c r="F270" t="e">
        <f>IF(B270="yes",VLOOKUP(A270,'FAO crop mapping'!$A$22:$H$60,4,FALSE), "")</f>
        <v>#N/A</v>
      </c>
      <c r="G270" t="e">
        <f>IF(B270="yes",VLOOKUP(A270,'FAO crop mapping'!$A$22:$H$60,5,FALSE), "")</f>
        <v>#N/A</v>
      </c>
      <c r="H270">
        <f>IF(B271="yes",VLOOKUP(A271,'FAO crop mapping'!$A$22:$H$60,6,FALSE), "")</f>
        <v>1.3</v>
      </c>
      <c r="I270">
        <f>IF(B271="yes",VLOOKUP(A271,'FAO crop mapping'!$A$22:$H$60,7,FALSE), "")</f>
        <v>0.255</v>
      </c>
      <c r="J270">
        <f>IF(B271="yes",VLOOKUP(A271,'FAO crop mapping'!$A$22:$H$60,8,FALSE), "")</f>
        <v>8.9999999999999993E-3</v>
      </c>
    </row>
    <row r="271" spans="1:10" x14ac:dyDescent="0.25">
      <c r="A271" t="s">
        <v>14</v>
      </c>
      <c r="B271" t="s">
        <v>79</v>
      </c>
      <c r="C271" t="s">
        <v>79</v>
      </c>
      <c r="D271">
        <f>IF(B271="yes",VLOOKUP(A271,'FAO crop mapping'!$A$22:$H$60,2,FALSE), "")</f>
        <v>1</v>
      </c>
      <c r="E271">
        <f>IF(B271="yes",VLOOKUP(A271,'FAO crop mapping'!$A$22:$H$60,3,FALSE), "")</f>
        <v>1.51</v>
      </c>
      <c r="F271">
        <f>IF(B271="yes",VLOOKUP(A271,'FAO crop mapping'!$A$22:$H$60,4,FALSE), "")</f>
        <v>0.52</v>
      </c>
      <c r="G271">
        <f>IF(B271="yes",VLOOKUP(A271,'FAO crop mapping'!$A$22:$H$60,5,FALSE), "")</f>
        <v>6.0000000000000001E-3</v>
      </c>
      <c r="H271" t="str">
        <f>IF(B272="yes",VLOOKUP(A272,'FAO crop mapping'!$A$22:$H$60,6,FALSE), "")</f>
        <v/>
      </c>
      <c r="I271" t="str">
        <f>IF(B272="yes",VLOOKUP(A272,'FAO crop mapping'!$A$22:$H$60,7,FALSE), "")</f>
        <v/>
      </c>
      <c r="J271" t="str">
        <f>IF(B272="yes",VLOOKUP(A272,'FAO crop mapping'!$A$22:$H$60,8,FALSE), "")</f>
        <v/>
      </c>
    </row>
    <row r="272" spans="1:10" x14ac:dyDescent="0.25">
      <c r="A272" t="s">
        <v>328</v>
      </c>
      <c r="B272" t="s">
        <v>80</v>
      </c>
      <c r="C272" t="s">
        <v>80</v>
      </c>
      <c r="D272" t="str">
        <f>IF(B272="yes",VLOOKUP(A272,'FAO crop mapping'!$A$22:$H$60,2,FALSE), "")</f>
        <v/>
      </c>
      <c r="E272" t="str">
        <f>IF(B272="yes",VLOOKUP(A272,'FAO crop mapping'!$A$22:$H$60,3,FALSE), "")</f>
        <v/>
      </c>
      <c r="F272" t="str">
        <f>IF(B272="yes",VLOOKUP(A272,'FAO crop mapping'!$A$22:$H$60,4,FALSE), "")</f>
        <v/>
      </c>
      <c r="G272" t="str">
        <f>IF(B272="yes",VLOOKUP(A272,'FAO crop mapping'!$A$22:$H$60,5,FALSE), "")</f>
        <v/>
      </c>
      <c r="H272" t="str">
        <f>IF(B273="yes",VLOOKUP(A273,'FAO crop mapping'!$A$22:$H$60,6,FALSE), "")</f>
        <v/>
      </c>
      <c r="I272" t="str">
        <f>IF(B273="yes",VLOOKUP(A273,'FAO crop mapping'!$A$22:$H$60,7,FALSE), "")</f>
        <v/>
      </c>
      <c r="J272" t="str">
        <f>IF(B273="yes",VLOOKUP(A273,'FAO crop mapping'!$A$22:$H$60,8,FALSE), "")</f>
        <v/>
      </c>
    </row>
    <row r="273" spans="1:10" x14ac:dyDescent="0.25">
      <c r="A273" t="s">
        <v>329</v>
      </c>
      <c r="B273" t="s">
        <v>80</v>
      </c>
      <c r="C273" t="s">
        <v>80</v>
      </c>
      <c r="D273" t="str">
        <f>IF(B273="yes",VLOOKUP(A273,'FAO crop mapping'!$A$22:$H$60,2,FALSE), "")</f>
        <v/>
      </c>
      <c r="E273" t="str">
        <f>IF(B273="yes",VLOOKUP(A273,'FAO crop mapping'!$A$22:$H$60,3,FALSE), "")</f>
        <v/>
      </c>
      <c r="F273" t="str">
        <f>IF(B273="yes",VLOOKUP(A273,'FAO crop mapping'!$A$22:$H$60,4,FALSE), "")</f>
        <v/>
      </c>
      <c r="G273" t="str">
        <f>IF(B273="yes",VLOOKUP(A273,'FAO crop mapping'!$A$22:$H$60,5,FALSE), "")</f>
        <v/>
      </c>
      <c r="H273" t="str">
        <f>IF(B274="yes",VLOOKUP(A274,'FAO crop mapping'!$A$22:$H$60,6,FALSE), "")</f>
        <v/>
      </c>
      <c r="I273" t="str">
        <f>IF(B274="yes",VLOOKUP(A274,'FAO crop mapping'!$A$22:$H$60,7,FALSE), "")</f>
        <v/>
      </c>
      <c r="J273" t="str">
        <f>IF(B274="yes",VLOOKUP(A274,'FAO crop mapping'!$A$22:$H$60,8,FALSE), "")</f>
        <v/>
      </c>
    </row>
    <row r="274" spans="1:10" x14ac:dyDescent="0.25">
      <c r="A274" t="s">
        <v>330</v>
      </c>
      <c r="B274" t="s">
        <v>80</v>
      </c>
      <c r="C274" t="s">
        <v>80</v>
      </c>
      <c r="D274" t="str">
        <f>IF(B274="yes",VLOOKUP(A274,'FAO crop mapping'!$A$22:$H$60,2,FALSE), "")</f>
        <v/>
      </c>
      <c r="E274" t="str">
        <f>IF(B274="yes",VLOOKUP(A274,'FAO crop mapping'!$A$22:$H$60,3,FALSE), "")</f>
        <v/>
      </c>
      <c r="F274" t="str">
        <f>IF(B274="yes",VLOOKUP(A274,'FAO crop mapping'!$A$22:$H$60,4,FALSE), "")</f>
        <v/>
      </c>
      <c r="G274" t="str">
        <f>IF(B274="yes",VLOOKUP(A274,'FAO crop mapping'!$A$22:$H$60,5,FALSE), "")</f>
        <v/>
      </c>
      <c r="H274" t="str">
        <f>IF(B275="yes",VLOOKUP(A275,'FAO crop mapping'!$A$22:$H$60,6,FALSE), "")</f>
        <v/>
      </c>
      <c r="I274" t="str">
        <f>IF(B275="yes",VLOOKUP(A275,'FAO crop mapping'!$A$22:$H$60,7,FALSE), "")</f>
        <v/>
      </c>
      <c r="J274" t="str">
        <f>IF(B275="yes",VLOOKUP(A275,'FAO crop mapping'!$A$22:$H$60,8,FALSE), "")</f>
        <v/>
      </c>
    </row>
    <row r="275" spans="1:10" x14ac:dyDescent="0.25">
      <c r="A275" t="s">
        <v>331</v>
      </c>
      <c r="B275" t="s">
        <v>80</v>
      </c>
      <c r="C275" t="s">
        <v>80</v>
      </c>
      <c r="D275" t="str">
        <f>IF(B275="yes",VLOOKUP(A275,'FAO crop mapping'!$A$22:$H$60,2,FALSE), "")</f>
        <v/>
      </c>
      <c r="E275" t="str">
        <f>IF(B275="yes",VLOOKUP(A275,'FAO crop mapping'!$A$22:$H$60,3,FALSE), "")</f>
        <v/>
      </c>
      <c r="F275" t="str">
        <f>IF(B275="yes",VLOOKUP(A275,'FAO crop mapping'!$A$22:$H$60,4,FALSE), "")</f>
        <v/>
      </c>
      <c r="G275" t="str">
        <f>IF(B275="yes",VLOOKUP(A275,'FAO crop mapping'!$A$22:$H$60,5,FALSE), "")</f>
        <v/>
      </c>
      <c r="H275" t="str">
        <f>IF(B276="yes",VLOOKUP(A276,'FAO crop mapping'!$A$22:$H$60,6,FALSE), "")</f>
        <v/>
      </c>
      <c r="I275" t="str">
        <f>IF(B276="yes",VLOOKUP(A276,'FAO crop mapping'!$A$22:$H$60,7,FALSE), "")</f>
        <v/>
      </c>
      <c r="J275" t="str">
        <f>IF(B276="yes",VLOOKUP(A276,'FAO crop mapping'!$A$22:$H$60,8,FALSE), "")</f>
        <v/>
      </c>
    </row>
    <row r="276" spans="1:10" x14ac:dyDescent="0.25">
      <c r="A276" t="s">
        <v>332</v>
      </c>
      <c r="B276" t="s">
        <v>80</v>
      </c>
      <c r="C276" t="s">
        <v>80</v>
      </c>
      <c r="D276" t="str">
        <f>IF(B276="yes",VLOOKUP(A276,'FAO crop mapping'!$A$22:$H$60,2,FALSE), "")</f>
        <v/>
      </c>
      <c r="E276" t="str">
        <f>IF(B276="yes",VLOOKUP(A276,'FAO crop mapping'!$A$22:$H$60,3,FALSE), "")</f>
        <v/>
      </c>
      <c r="F276" t="str">
        <f>IF(B276="yes",VLOOKUP(A276,'FAO crop mapping'!$A$22:$H$60,4,FALSE), "")</f>
        <v/>
      </c>
      <c r="G276" t="str">
        <f>IF(B276="yes",VLOOKUP(A276,'FAO crop mapping'!$A$22:$H$60,5,FALSE), "")</f>
        <v/>
      </c>
      <c r="H276" t="e">
        <f>IF(B277="yes",VLOOKUP(A277,'FAO crop mapping'!$A$22:$H$60,6,FALSE), "")</f>
        <v>#N/A</v>
      </c>
      <c r="I276" t="e">
        <f>IF(B277="yes",VLOOKUP(A277,'FAO crop mapping'!$A$22:$H$60,7,FALSE), "")</f>
        <v>#N/A</v>
      </c>
      <c r="J276" t="e">
        <f>IF(B277="yes",VLOOKUP(A277,'FAO crop mapping'!$A$22:$H$60,8,FALSE), "")</f>
        <v>#N/A</v>
      </c>
    </row>
    <row r="277" spans="1:10" x14ac:dyDescent="0.25">
      <c r="A277" t="s">
        <v>333</v>
      </c>
      <c r="B277" t="s">
        <v>79</v>
      </c>
      <c r="C277" t="s">
        <v>79</v>
      </c>
      <c r="D277" t="e">
        <f>IF(B277="yes",VLOOKUP(A277,'FAO crop mapping'!$A$22:$H$60,2,FALSE), "")</f>
        <v>#N/A</v>
      </c>
      <c r="E277" t="e">
        <f>IF(B277="yes",VLOOKUP(A277,'FAO crop mapping'!$A$22:$H$60,3,FALSE), "")</f>
        <v>#N/A</v>
      </c>
      <c r="F277" t="e">
        <f>IF(B277="yes",VLOOKUP(A277,'FAO crop mapping'!$A$22:$H$60,4,FALSE), "")</f>
        <v>#N/A</v>
      </c>
      <c r="G277" t="e">
        <f>IF(B277="yes",VLOOKUP(A277,'FAO crop mapping'!$A$22:$H$60,5,FALSE), "")</f>
        <v>#N/A</v>
      </c>
      <c r="H277" t="e">
        <f>IF(B278="yes",VLOOKUP(A278,'FAO crop mapping'!$A$22:$H$60,6,FALSE), "")</f>
        <v>#N/A</v>
      </c>
      <c r="I277" t="e">
        <f>IF(B278="yes",VLOOKUP(A278,'FAO crop mapping'!$A$22:$H$60,7,FALSE), "")</f>
        <v>#N/A</v>
      </c>
      <c r="J277" t="e">
        <f>IF(B278="yes",VLOOKUP(A278,'FAO crop mapping'!$A$22:$H$60,8,FALSE), "")</f>
        <v>#N/A</v>
      </c>
    </row>
    <row r="278" spans="1:10" x14ac:dyDescent="0.25">
      <c r="A278" t="s">
        <v>334</v>
      </c>
      <c r="B278" t="s">
        <v>79</v>
      </c>
      <c r="C278" t="s">
        <v>79</v>
      </c>
      <c r="D278" t="e">
        <f>IF(B278="yes",VLOOKUP(A278,'FAO crop mapping'!$A$22:$H$60,2,FALSE), "")</f>
        <v>#N/A</v>
      </c>
      <c r="E278" t="e">
        <f>IF(B278="yes",VLOOKUP(A278,'FAO crop mapping'!$A$22:$H$60,3,FALSE), "")</f>
        <v>#N/A</v>
      </c>
      <c r="F278" t="e">
        <f>IF(B278="yes",VLOOKUP(A278,'FAO crop mapping'!$A$22:$H$60,4,FALSE), "")</f>
        <v>#N/A</v>
      </c>
      <c r="G278" t="e">
        <f>IF(B278="yes",VLOOKUP(A278,'FAO crop mapping'!$A$22:$H$60,5,FALSE), "")</f>
        <v>#N/A</v>
      </c>
      <c r="H278" t="e">
        <f>IF(B279="yes",VLOOKUP(A279,'FAO crop mapping'!$A$22:$H$60,6,FALSE), "")</f>
        <v>#N/A</v>
      </c>
      <c r="I278" t="e">
        <f>IF(B279="yes",VLOOKUP(A279,'FAO crop mapping'!$A$22:$H$60,7,FALSE), "")</f>
        <v>#N/A</v>
      </c>
      <c r="J278" t="e">
        <f>IF(B279="yes",VLOOKUP(A279,'FAO crop mapping'!$A$22:$H$60,8,FALSE), "")</f>
        <v>#N/A</v>
      </c>
    </row>
    <row r="279" spans="1:10" x14ac:dyDescent="0.25">
      <c r="A279" t="s">
        <v>335</v>
      </c>
      <c r="B279" t="s">
        <v>79</v>
      </c>
      <c r="C279" t="s">
        <v>80</v>
      </c>
      <c r="D279" t="e">
        <f>IF(B279="yes",VLOOKUP(A279,'FAO crop mapping'!$A$22:$H$60,2,FALSE), "")</f>
        <v>#N/A</v>
      </c>
      <c r="E279" t="e">
        <f>IF(B279="yes",VLOOKUP(A279,'FAO crop mapping'!$A$22:$H$60,3,FALSE), "")</f>
        <v>#N/A</v>
      </c>
      <c r="F279" t="e">
        <f>IF(B279="yes",VLOOKUP(A279,'FAO crop mapping'!$A$22:$H$60,4,FALSE), "")</f>
        <v>#N/A</v>
      </c>
      <c r="G279" t="e">
        <f>IF(B279="yes",VLOOKUP(A279,'FAO crop mapping'!$A$22:$H$60,5,FALSE), "")</f>
        <v>#N/A</v>
      </c>
      <c r="H279" t="str">
        <f>IF(B280="yes",VLOOKUP(A280,'FAO crop mapping'!$A$22:$H$60,6,FALSE), "")</f>
        <v/>
      </c>
      <c r="I279" t="str">
        <f>IF(B280="yes",VLOOKUP(A280,'FAO crop mapping'!$A$22:$H$60,7,FALSE), "")</f>
        <v/>
      </c>
      <c r="J279" t="str">
        <f>IF(B280="yes",VLOOKUP(A280,'FAO crop mapping'!$A$22:$H$60,8,FALSE), "")</f>
        <v/>
      </c>
    </row>
    <row r="280" spans="1:10" x14ac:dyDescent="0.25">
      <c r="A280" t="s">
        <v>336</v>
      </c>
      <c r="B280" t="s">
        <v>80</v>
      </c>
      <c r="C280" t="s">
        <v>80</v>
      </c>
      <c r="D280" t="str">
        <f>IF(B280="yes",VLOOKUP(A280,'FAO crop mapping'!$A$22:$H$60,2,FALSE), "")</f>
        <v/>
      </c>
      <c r="E280" t="str">
        <f>IF(B280="yes",VLOOKUP(A280,'FAO crop mapping'!$A$22:$H$60,3,FALSE), "")</f>
        <v/>
      </c>
      <c r="F280" t="str">
        <f>IF(B280="yes",VLOOKUP(A280,'FAO crop mapping'!$A$22:$H$60,4,FALSE), "")</f>
        <v/>
      </c>
      <c r="G280" t="str">
        <f>IF(B280="yes",VLOOKUP(A280,'FAO crop mapping'!$A$22:$H$60,5,FALSE), "")</f>
        <v/>
      </c>
      <c r="H280" t="str">
        <f>IF(B281="yes",VLOOKUP(A281,'FAO crop mapping'!$A$22:$H$60,6,FALSE), "")</f>
        <v/>
      </c>
      <c r="I280" t="str">
        <f>IF(B281="yes",VLOOKUP(A281,'FAO crop mapping'!$A$22:$H$60,7,FALSE), "")</f>
        <v/>
      </c>
      <c r="J280" t="str">
        <f>IF(B281="yes",VLOOKUP(A281,'FAO crop mapping'!$A$22:$H$60,8,FALSE), "")</f>
        <v/>
      </c>
    </row>
    <row r="281" spans="1:10" x14ac:dyDescent="0.25">
      <c r="A281" t="s">
        <v>337</v>
      </c>
      <c r="B281" t="s">
        <v>80</v>
      </c>
      <c r="C281" t="s">
        <v>80</v>
      </c>
      <c r="D281" t="str">
        <f>IF(B281="yes",VLOOKUP(A281,'FAO crop mapping'!$A$22:$H$60,2,FALSE), "")</f>
        <v/>
      </c>
      <c r="E281" t="str">
        <f>IF(B281="yes",VLOOKUP(A281,'FAO crop mapping'!$A$22:$H$60,3,FALSE), "")</f>
        <v/>
      </c>
      <c r="F281" t="str">
        <f>IF(B281="yes",VLOOKUP(A281,'FAO crop mapping'!$A$22:$H$60,4,FALSE), "")</f>
        <v/>
      </c>
      <c r="G281" t="str">
        <f>IF(B281="yes",VLOOKUP(A281,'FAO crop mapping'!$A$22:$H$60,5,FALSE), "")</f>
        <v/>
      </c>
      <c r="H281" t="str">
        <f>IF(B282="yes",VLOOKUP(A282,'FAO crop mapping'!$A$22:$H$60,6,FALSE), "")</f>
        <v/>
      </c>
      <c r="I281" t="str">
        <f>IF(B282="yes",VLOOKUP(A282,'FAO crop mapping'!$A$22:$H$60,7,FALSE), "")</f>
        <v/>
      </c>
      <c r="J281" t="str">
        <f>IF(B282="yes",VLOOKUP(A282,'FAO crop mapping'!$A$22:$H$60,8,FALSE), "")</f>
        <v/>
      </c>
    </row>
    <row r="282" spans="1:10" x14ac:dyDescent="0.25">
      <c r="A282" t="s">
        <v>338</v>
      </c>
      <c r="B282" t="s">
        <v>80</v>
      </c>
      <c r="C282" t="s">
        <v>80</v>
      </c>
      <c r="D282" t="str">
        <f>IF(B282="yes",VLOOKUP(A282,'FAO crop mapping'!$A$22:$H$60,2,FALSE), "")</f>
        <v/>
      </c>
      <c r="E282" t="str">
        <f>IF(B282="yes",VLOOKUP(A282,'FAO crop mapping'!$A$22:$H$60,3,FALSE), "")</f>
        <v/>
      </c>
      <c r="F282" t="str">
        <f>IF(B282="yes",VLOOKUP(A282,'FAO crop mapping'!$A$22:$H$60,4,FALSE), "")</f>
        <v/>
      </c>
      <c r="G282" t="str">
        <f>IF(B282="yes",VLOOKUP(A282,'FAO crop mapping'!$A$22:$H$60,5,FALSE), "")</f>
        <v/>
      </c>
      <c r="H282" t="str">
        <f>IF(B283="yes",VLOOKUP(A283,'FAO crop mapping'!$A$22:$H$60,6,FALSE), "")</f>
        <v/>
      </c>
      <c r="I282" t="str">
        <f>IF(B283="yes",VLOOKUP(A283,'FAO crop mapping'!$A$22:$H$60,7,FALSE), "")</f>
        <v/>
      </c>
      <c r="J282" t="str">
        <f>IF(B283="yes",VLOOKUP(A283,'FAO crop mapping'!$A$22:$H$60,8,FALSE), "")</f>
        <v/>
      </c>
    </row>
    <row r="283" spans="1:10" x14ac:dyDescent="0.25">
      <c r="A283" t="s">
        <v>339</v>
      </c>
      <c r="B283" t="s">
        <v>80</v>
      </c>
      <c r="C283" t="s">
        <v>80</v>
      </c>
      <c r="D283" t="str">
        <f>IF(B283="yes",VLOOKUP(A283,'FAO crop mapping'!$A$22:$H$60,2,FALSE), "")</f>
        <v/>
      </c>
      <c r="E283" t="str">
        <f>IF(B283="yes",VLOOKUP(A283,'FAO crop mapping'!$A$22:$H$60,3,FALSE), "")</f>
        <v/>
      </c>
      <c r="F283" t="str">
        <f>IF(B283="yes",VLOOKUP(A283,'FAO crop mapping'!$A$22:$H$60,4,FALSE), "")</f>
        <v/>
      </c>
      <c r="G283" t="str">
        <f>IF(B283="yes",VLOOKUP(A283,'FAO crop mapping'!$A$22:$H$60,5,FALSE), "")</f>
        <v/>
      </c>
      <c r="H283" t="str">
        <f>IF(B284="yes",VLOOKUP(A284,'FAO crop mapping'!$A$22:$H$60,6,FALSE), "")</f>
        <v/>
      </c>
      <c r="I283" t="str">
        <f>IF(B284="yes",VLOOKUP(A284,'FAO crop mapping'!$A$22:$H$60,7,FALSE), "")</f>
        <v/>
      </c>
      <c r="J283" t="str">
        <f>IF(B284="yes",VLOOKUP(A284,'FAO crop mapping'!$A$22:$H$60,8,FALSE), "")</f>
        <v/>
      </c>
    </row>
    <row r="284" spans="1:10" x14ac:dyDescent="0.25">
      <c r="A284" t="s">
        <v>340</v>
      </c>
      <c r="B284" t="s">
        <v>80</v>
      </c>
      <c r="C284" t="s">
        <v>80</v>
      </c>
      <c r="D284" t="str">
        <f>IF(B284="yes",VLOOKUP(A284,'FAO crop mapping'!$A$22:$H$60,2,FALSE), "")</f>
        <v/>
      </c>
      <c r="E284" t="str">
        <f>IF(B284="yes",VLOOKUP(A284,'FAO crop mapping'!$A$22:$H$60,3,FALSE), "")</f>
        <v/>
      </c>
      <c r="F284" t="str">
        <f>IF(B284="yes",VLOOKUP(A284,'FAO crop mapping'!$A$22:$H$60,4,FALSE), "")</f>
        <v/>
      </c>
      <c r="G284" t="str">
        <f>IF(B284="yes",VLOOKUP(A284,'FAO crop mapping'!$A$22:$H$60,5,FALSE), "")</f>
        <v/>
      </c>
      <c r="H284" t="str">
        <f>IF(B285="yes",VLOOKUP(A285,'FAO crop mapping'!$A$22:$H$60,6,FALSE), "")</f>
        <v/>
      </c>
      <c r="I284" t="str">
        <f>IF(B285="yes",VLOOKUP(A285,'FAO crop mapping'!$A$22:$H$60,7,FALSE), "")</f>
        <v/>
      </c>
      <c r="J284" t="str">
        <f>IF(B285="yes",VLOOKUP(A285,'FAO crop mapping'!$A$22:$H$60,8,FALSE), "")</f>
        <v/>
      </c>
    </row>
    <row r="285" spans="1:10" x14ac:dyDescent="0.25">
      <c r="A285" t="s">
        <v>341</v>
      </c>
      <c r="B285" t="s">
        <v>80</v>
      </c>
      <c r="C285" t="s">
        <v>80</v>
      </c>
      <c r="D285" t="str">
        <f>IF(B285="yes",VLOOKUP(A285,'FAO crop mapping'!$A$22:$H$60,2,FALSE), "")</f>
        <v/>
      </c>
      <c r="E285" t="str">
        <f>IF(B285="yes",VLOOKUP(A285,'FAO crop mapping'!$A$22:$H$60,3,FALSE), "")</f>
        <v/>
      </c>
      <c r="F285" t="str">
        <f>IF(B285="yes",VLOOKUP(A285,'FAO crop mapping'!$A$22:$H$60,4,FALSE), "")</f>
        <v/>
      </c>
      <c r="G285" t="str">
        <f>IF(B285="yes",VLOOKUP(A285,'FAO crop mapping'!$A$22:$H$60,5,FALSE), "")</f>
        <v/>
      </c>
      <c r="H285" t="e">
        <f>IF(B286="yes",VLOOKUP(A286,'FAO crop mapping'!$A$22:$H$60,6,FALSE), "")</f>
        <v>#N/A</v>
      </c>
      <c r="I285" t="e">
        <f>IF(B286="yes",VLOOKUP(A286,'FAO crop mapping'!$A$22:$H$60,7,FALSE), "")</f>
        <v>#N/A</v>
      </c>
      <c r="J285" t="e">
        <f>IF(B286="yes",VLOOKUP(A286,'FAO crop mapping'!$A$22:$H$60,8,FALSE), "")</f>
        <v>#N/A</v>
      </c>
    </row>
    <row r="286" spans="1:10" x14ac:dyDescent="0.25">
      <c r="A286" t="s">
        <v>342</v>
      </c>
      <c r="B286" t="s">
        <v>79</v>
      </c>
      <c r="C286" t="s">
        <v>79</v>
      </c>
      <c r="D286" t="e">
        <f>IF(B286="yes",VLOOKUP(A286,'FAO crop mapping'!$A$22:$H$60,2,FALSE), "")</f>
        <v>#N/A</v>
      </c>
      <c r="E286" t="e">
        <f>IF(B286="yes",VLOOKUP(A286,'FAO crop mapping'!$A$22:$H$60,3,FALSE), "")</f>
        <v>#N/A</v>
      </c>
      <c r="F286" t="e">
        <f>IF(B286="yes",VLOOKUP(A286,'FAO crop mapping'!$A$22:$H$60,4,FALSE), "")</f>
        <v>#N/A</v>
      </c>
      <c r="G286" t="e">
        <f>IF(B286="yes",VLOOKUP(A286,'FAO crop mapping'!$A$22:$H$60,5,FALSE), "")</f>
        <v>#N/A</v>
      </c>
      <c r="H286" t="str">
        <f>IF(B287="yes",VLOOKUP(A287,'FAO crop mapping'!$A$22:$H$60,6,FALSE), "")</f>
        <v/>
      </c>
      <c r="I286" t="str">
        <f>IF(B287="yes",VLOOKUP(A287,'FAO crop mapping'!$A$22:$H$60,7,FALSE), "")</f>
        <v/>
      </c>
      <c r="J286" t="str">
        <f>IF(B287="yes",VLOOKUP(A287,'FAO crop mapping'!$A$22:$H$60,8,FALSE), "")</f>
        <v/>
      </c>
    </row>
    <row r="287" spans="1:10" x14ac:dyDescent="0.25">
      <c r="A287" t="s">
        <v>343</v>
      </c>
      <c r="B287" t="s">
        <v>80</v>
      </c>
      <c r="C287" t="s">
        <v>80</v>
      </c>
      <c r="D287" t="str">
        <f>IF(B287="yes",VLOOKUP(A287,'FAO crop mapping'!$A$22:$H$60,2,FALSE), "")</f>
        <v/>
      </c>
      <c r="E287" t="str">
        <f>IF(B287="yes",VLOOKUP(A287,'FAO crop mapping'!$A$22:$H$60,3,FALSE), "")</f>
        <v/>
      </c>
      <c r="F287" t="str">
        <f>IF(B287="yes",VLOOKUP(A287,'FAO crop mapping'!$A$22:$H$60,4,FALSE), "")</f>
        <v/>
      </c>
      <c r="G287" t="str">
        <f>IF(B287="yes",VLOOKUP(A287,'FAO crop mapping'!$A$22:$H$60,5,FALSE), "")</f>
        <v/>
      </c>
      <c r="H287" t="e">
        <f>IF(B288="yes",VLOOKUP(A288,'FAO crop mapping'!$A$22:$H$60,6,FALSE), "")</f>
        <v>#N/A</v>
      </c>
      <c r="I287" t="e">
        <f>IF(B288="yes",VLOOKUP(A288,'FAO crop mapping'!$A$22:$H$60,7,FALSE), "")</f>
        <v>#N/A</v>
      </c>
      <c r="J287" t="e">
        <f>IF(B288="yes",VLOOKUP(A288,'FAO crop mapping'!$A$22:$H$60,8,FALSE), "")</f>
        <v>#N/A</v>
      </c>
    </row>
    <row r="288" spans="1:10" x14ac:dyDescent="0.25">
      <c r="A288" t="s">
        <v>344</v>
      </c>
      <c r="B288" t="s">
        <v>79</v>
      </c>
      <c r="C288" t="s">
        <v>79</v>
      </c>
      <c r="D288" t="e">
        <f>IF(B288="yes",VLOOKUP(A288,'FAO crop mapping'!$A$22:$H$60,2,FALSE), "")</f>
        <v>#N/A</v>
      </c>
      <c r="E288" t="e">
        <f>IF(B288="yes",VLOOKUP(A288,'FAO crop mapping'!$A$22:$H$60,3,FALSE), "")</f>
        <v>#N/A</v>
      </c>
      <c r="F288" t="e">
        <f>IF(B288="yes",VLOOKUP(A288,'FAO crop mapping'!$A$22:$H$60,4,FALSE), "")</f>
        <v>#N/A</v>
      </c>
      <c r="G288" t="e">
        <f>IF(B288="yes",VLOOKUP(A288,'FAO crop mapping'!$A$22:$H$60,5,FALSE), "")</f>
        <v>#N/A</v>
      </c>
      <c r="H288" t="str">
        <f>IF(B289="yes",VLOOKUP(A289,'FAO crop mapping'!$A$22:$H$60,6,FALSE), "")</f>
        <v/>
      </c>
      <c r="I288" t="str">
        <f>IF(B289="yes",VLOOKUP(A289,'FAO crop mapping'!$A$22:$H$60,7,FALSE), "")</f>
        <v/>
      </c>
      <c r="J288" t="str">
        <f>IF(B289="yes",VLOOKUP(A289,'FAO crop mapping'!$A$22:$H$60,8,FALSE), "")</f>
        <v/>
      </c>
    </row>
    <row r="289" spans="1:10" x14ac:dyDescent="0.25">
      <c r="A289" t="s">
        <v>345</v>
      </c>
      <c r="B289" t="s">
        <v>80</v>
      </c>
      <c r="C289" t="s">
        <v>80</v>
      </c>
      <c r="D289" t="str">
        <f>IF(B289="yes",VLOOKUP(A289,'FAO crop mapping'!$A$22:$H$60,2,FALSE), "")</f>
        <v/>
      </c>
      <c r="E289" t="str">
        <f>IF(B289="yes",VLOOKUP(A289,'FAO crop mapping'!$A$22:$H$60,3,FALSE), "")</f>
        <v/>
      </c>
      <c r="F289" t="str">
        <f>IF(B289="yes",VLOOKUP(A289,'FAO crop mapping'!$A$22:$H$60,4,FALSE), "")</f>
        <v/>
      </c>
      <c r="G289" t="str">
        <f>IF(B289="yes",VLOOKUP(A289,'FAO crop mapping'!$A$22:$H$60,5,FALSE), "")</f>
        <v/>
      </c>
      <c r="H289" t="str">
        <f>IF(B290="yes",VLOOKUP(A290,'FAO crop mapping'!$A$22:$H$60,6,FALSE), "")</f>
        <v/>
      </c>
      <c r="I289" t="str">
        <f>IF(B290="yes",VLOOKUP(A290,'FAO crop mapping'!$A$22:$H$60,7,FALSE), "")</f>
        <v/>
      </c>
      <c r="J289" t="str">
        <f>IF(B290="yes",VLOOKUP(A290,'FAO crop mapping'!$A$22:$H$60,8,FALSE), "")</f>
        <v/>
      </c>
    </row>
    <row r="290" spans="1:10" x14ac:dyDescent="0.25">
      <c r="A290" t="s">
        <v>346</v>
      </c>
      <c r="B290" t="s">
        <v>80</v>
      </c>
      <c r="C290" t="s">
        <v>80</v>
      </c>
      <c r="D290" t="str">
        <f>IF(B290="yes",VLOOKUP(A290,'FAO crop mapping'!$A$22:$H$60,2,FALSE), "")</f>
        <v/>
      </c>
      <c r="E290" t="str">
        <f>IF(B290="yes",VLOOKUP(A290,'FAO crop mapping'!$A$22:$H$60,3,FALSE), "")</f>
        <v/>
      </c>
      <c r="F290" t="str">
        <f>IF(B290="yes",VLOOKUP(A290,'FAO crop mapping'!$A$22:$H$60,4,FALSE), "")</f>
        <v/>
      </c>
      <c r="G290" t="str">
        <f>IF(B290="yes",VLOOKUP(A290,'FAO crop mapping'!$A$22:$H$60,5,FALSE), "")</f>
        <v/>
      </c>
      <c r="H290" t="str">
        <f>IF(B291="yes",VLOOKUP(A291,'FAO crop mapping'!$A$22:$H$60,6,FALSE), "")</f>
        <v/>
      </c>
      <c r="I290" t="str">
        <f>IF(B291="yes",VLOOKUP(A291,'FAO crop mapping'!$A$22:$H$60,7,FALSE), "")</f>
        <v/>
      </c>
      <c r="J290" t="str">
        <f>IF(B291="yes",VLOOKUP(A291,'FAO crop mapping'!$A$22:$H$60,8,FALSE), "")</f>
        <v/>
      </c>
    </row>
    <row r="291" spans="1:10" x14ac:dyDescent="0.25">
      <c r="A291" t="s">
        <v>347</v>
      </c>
      <c r="B291" t="s">
        <v>80</v>
      </c>
      <c r="C291" t="s">
        <v>80</v>
      </c>
      <c r="D291" t="str">
        <f>IF(B291="yes",VLOOKUP(A291,'FAO crop mapping'!$A$22:$H$60,2,FALSE), "")</f>
        <v/>
      </c>
      <c r="E291" t="str">
        <f>IF(B291="yes",VLOOKUP(A291,'FAO crop mapping'!$A$22:$H$60,3,FALSE), "")</f>
        <v/>
      </c>
      <c r="F291" t="str">
        <f>IF(B291="yes",VLOOKUP(A291,'FAO crop mapping'!$A$22:$H$60,4,FALSE), "")</f>
        <v/>
      </c>
      <c r="G291" t="str">
        <f>IF(B291="yes",VLOOKUP(A291,'FAO crop mapping'!$A$22:$H$60,5,FALSE), "")</f>
        <v/>
      </c>
      <c r="H291" t="e">
        <f>IF(B292="yes",VLOOKUP(A292,'FAO crop mapping'!$A$22:$H$60,6,FALSE), "")</f>
        <v>#N/A</v>
      </c>
      <c r="I291" t="e">
        <f>IF(B292="yes",VLOOKUP(A292,'FAO crop mapping'!$A$22:$H$60,7,FALSE), "")</f>
        <v>#N/A</v>
      </c>
      <c r="J291" t="e">
        <f>IF(B292="yes",VLOOKUP(A292,'FAO crop mapping'!$A$22:$H$60,8,FALSE), "")</f>
        <v>#N/A</v>
      </c>
    </row>
    <row r="292" spans="1:10" x14ac:dyDescent="0.25">
      <c r="A292" t="s">
        <v>348</v>
      </c>
      <c r="B292" t="s">
        <v>79</v>
      </c>
      <c r="C292" t="s">
        <v>79</v>
      </c>
      <c r="D292" t="e">
        <f>IF(B292="yes",VLOOKUP(A292,'FAO crop mapping'!$A$22:$H$60,2,FALSE), "")</f>
        <v>#N/A</v>
      </c>
      <c r="E292" t="e">
        <f>IF(B292="yes",VLOOKUP(A292,'FAO crop mapping'!$A$22:$H$60,3,FALSE), "")</f>
        <v>#N/A</v>
      </c>
      <c r="F292" t="e">
        <f>IF(B292="yes",VLOOKUP(A292,'FAO crop mapping'!$A$22:$H$60,4,FALSE), "")</f>
        <v>#N/A</v>
      </c>
      <c r="G292" t="e">
        <f>IF(B292="yes",VLOOKUP(A292,'FAO crop mapping'!$A$22:$H$60,5,FALSE), "")</f>
        <v>#N/A</v>
      </c>
      <c r="H292" t="str">
        <f>IF(B293="yes",VLOOKUP(A293,'FAO crop mapping'!$A$22:$H$60,6,FALSE), "")</f>
        <v/>
      </c>
      <c r="I292" t="str">
        <f>IF(B293="yes",VLOOKUP(A293,'FAO crop mapping'!$A$22:$H$60,7,FALSE), "")</f>
        <v/>
      </c>
      <c r="J292" t="str">
        <f>IF(B293="yes",VLOOKUP(A293,'FAO crop mapping'!$A$22:$H$60,8,FALSE), "")</f>
        <v/>
      </c>
    </row>
    <row r="293" spans="1:10" x14ac:dyDescent="0.25">
      <c r="A293" t="s">
        <v>349</v>
      </c>
      <c r="B293" t="s">
        <v>80</v>
      </c>
      <c r="C293" t="s">
        <v>80</v>
      </c>
      <c r="D293" t="str">
        <f>IF(B293="yes",VLOOKUP(A293,'FAO crop mapping'!$A$22:$H$60,2,FALSE), "")</f>
        <v/>
      </c>
      <c r="E293" t="str">
        <f>IF(B293="yes",VLOOKUP(A293,'FAO crop mapping'!$A$22:$H$60,3,FALSE), "")</f>
        <v/>
      </c>
      <c r="F293" t="str">
        <f>IF(B293="yes",VLOOKUP(A293,'FAO crop mapping'!$A$22:$H$60,4,FALSE), "")</f>
        <v/>
      </c>
      <c r="G293" t="str">
        <f>IF(B293="yes",VLOOKUP(A293,'FAO crop mapping'!$A$22:$H$60,5,FALSE), "")</f>
        <v/>
      </c>
      <c r="H293" t="str">
        <f>IF(B294="yes",VLOOKUP(A294,'FAO crop mapping'!$A$22:$H$60,6,FALSE), "")</f>
        <v/>
      </c>
      <c r="I293" t="str">
        <f>IF(B294="yes",VLOOKUP(A294,'FAO crop mapping'!$A$22:$H$60,7,FALSE), "")</f>
        <v/>
      </c>
      <c r="J293" t="str">
        <f>IF(B294="yes",VLOOKUP(A294,'FAO crop mapping'!$A$22:$H$60,8,FALSE), "")</f>
        <v/>
      </c>
    </row>
    <row r="294" spans="1:10" x14ac:dyDescent="0.25">
      <c r="A294" t="s">
        <v>350</v>
      </c>
      <c r="B294" t="s">
        <v>80</v>
      </c>
      <c r="C294" t="s">
        <v>80</v>
      </c>
      <c r="D294" t="str">
        <f>IF(B294="yes",VLOOKUP(A294,'FAO crop mapping'!$A$22:$H$60,2,FALSE), "")</f>
        <v/>
      </c>
      <c r="E294" t="str">
        <f>IF(B294="yes",VLOOKUP(A294,'FAO crop mapping'!$A$22:$H$60,3,FALSE), "")</f>
        <v/>
      </c>
      <c r="F294" t="str">
        <f>IF(B294="yes",VLOOKUP(A294,'FAO crop mapping'!$A$22:$H$60,4,FALSE), "")</f>
        <v/>
      </c>
      <c r="G294" t="str">
        <f>IF(B294="yes",VLOOKUP(A294,'FAO crop mapping'!$A$22:$H$60,5,FALSE), "")</f>
        <v/>
      </c>
      <c r="H294" t="str">
        <f>IF(B295="yes",VLOOKUP(A295,'FAO crop mapping'!$A$22:$H$60,6,FALSE), "")</f>
        <v/>
      </c>
      <c r="I294" t="str">
        <f>IF(B295="yes",VLOOKUP(A295,'FAO crop mapping'!$A$22:$H$60,7,FALSE), "")</f>
        <v/>
      </c>
      <c r="J294" t="str">
        <f>IF(B295="yes",VLOOKUP(A295,'FAO crop mapping'!$A$22:$H$60,8,FALSE), "")</f>
        <v/>
      </c>
    </row>
    <row r="295" spans="1:10" x14ac:dyDescent="0.25">
      <c r="A295" t="s">
        <v>351</v>
      </c>
      <c r="B295" t="s">
        <v>80</v>
      </c>
      <c r="C295" t="s">
        <v>80</v>
      </c>
      <c r="D295" t="str">
        <f>IF(B295="yes",VLOOKUP(A295,'FAO crop mapping'!$A$22:$H$60,2,FALSE), "")</f>
        <v/>
      </c>
      <c r="E295" t="str">
        <f>IF(B295="yes",VLOOKUP(A295,'FAO crop mapping'!$A$22:$H$60,3,FALSE), "")</f>
        <v/>
      </c>
      <c r="F295" t="str">
        <f>IF(B295="yes",VLOOKUP(A295,'FAO crop mapping'!$A$22:$H$60,4,FALSE), "")</f>
        <v/>
      </c>
      <c r="G295" t="str">
        <f>IF(B295="yes",VLOOKUP(A295,'FAO crop mapping'!$A$22:$H$60,5,FALSE), "")</f>
        <v/>
      </c>
      <c r="H295" t="str">
        <f>IF(B296="yes",VLOOKUP(A296,'FAO crop mapping'!$A$22:$H$60,6,FALSE), "")</f>
        <v/>
      </c>
      <c r="I295" t="str">
        <f>IF(B296="yes",VLOOKUP(A296,'FAO crop mapping'!$A$22:$H$60,7,FALSE), "")</f>
        <v/>
      </c>
      <c r="J295" t="str">
        <f>IF(B296="yes",VLOOKUP(A296,'FAO crop mapping'!$A$22:$H$60,8,FALSE), "")</f>
        <v/>
      </c>
    </row>
    <row r="296" spans="1:10" x14ac:dyDescent="0.25">
      <c r="A296" t="s">
        <v>352</v>
      </c>
      <c r="B296" t="s">
        <v>80</v>
      </c>
      <c r="C296" t="s">
        <v>80</v>
      </c>
      <c r="D296" t="str">
        <f>IF(B296="yes",VLOOKUP(A296,'FAO crop mapping'!$A$22:$H$60,2,FALSE), "")</f>
        <v/>
      </c>
      <c r="E296" t="str">
        <f>IF(B296="yes",VLOOKUP(A296,'FAO crop mapping'!$A$22:$H$60,3,FALSE), "")</f>
        <v/>
      </c>
      <c r="F296" t="str">
        <f>IF(B296="yes",VLOOKUP(A296,'FAO crop mapping'!$A$22:$H$60,4,FALSE), "")</f>
        <v/>
      </c>
      <c r="G296" t="str">
        <f>IF(B296="yes",VLOOKUP(A296,'FAO crop mapping'!$A$22:$H$60,5,FALSE), "")</f>
        <v/>
      </c>
      <c r="H296" t="e">
        <f>IF(B297="yes",VLOOKUP(A297,'FAO crop mapping'!$A$22:$H$60,6,FALSE), "")</f>
        <v>#N/A</v>
      </c>
      <c r="I296" t="e">
        <f>IF(B297="yes",VLOOKUP(A297,'FAO crop mapping'!$A$22:$H$60,7,FALSE), "")</f>
        <v>#N/A</v>
      </c>
      <c r="J296" t="e">
        <f>IF(B297="yes",VLOOKUP(A297,'FAO crop mapping'!$A$22:$H$60,8,FALSE), "")</f>
        <v>#N/A</v>
      </c>
    </row>
    <row r="297" spans="1:10" x14ac:dyDescent="0.25">
      <c r="A297" t="s">
        <v>353</v>
      </c>
      <c r="B297" t="s">
        <v>79</v>
      </c>
      <c r="C297" t="s">
        <v>79</v>
      </c>
      <c r="D297" t="e">
        <f>IF(B297="yes",VLOOKUP(A297,'FAO crop mapping'!$A$22:$H$60,2,FALSE), "")</f>
        <v>#N/A</v>
      </c>
      <c r="E297" t="e">
        <f>IF(B297="yes",VLOOKUP(A297,'FAO crop mapping'!$A$22:$H$60,3,FALSE), "")</f>
        <v>#N/A</v>
      </c>
      <c r="F297" t="e">
        <f>IF(B297="yes",VLOOKUP(A297,'FAO crop mapping'!$A$22:$H$60,4,FALSE), "")</f>
        <v>#N/A</v>
      </c>
      <c r="G297" t="e">
        <f>IF(B297="yes",VLOOKUP(A297,'FAO crop mapping'!$A$22:$H$60,5,FALSE), "")</f>
        <v>#N/A</v>
      </c>
      <c r="H297" t="str">
        <f>IF(B298="yes",VLOOKUP(A298,'FAO crop mapping'!$A$22:$H$60,6,FALSE), "")</f>
        <v/>
      </c>
      <c r="I297" t="str">
        <f>IF(B298="yes",VLOOKUP(A298,'FAO crop mapping'!$A$22:$H$60,7,FALSE), "")</f>
        <v/>
      </c>
      <c r="J297" t="str">
        <f>IF(B298="yes",VLOOKUP(A298,'FAO crop mapping'!$A$22:$H$60,8,FALSE), "")</f>
        <v/>
      </c>
    </row>
    <row r="298" spans="1:10" x14ac:dyDescent="0.25">
      <c r="A298" t="s">
        <v>354</v>
      </c>
      <c r="B298" t="s">
        <v>80</v>
      </c>
      <c r="C298" t="s">
        <v>80</v>
      </c>
      <c r="D298" t="str">
        <f>IF(B298="yes",VLOOKUP(A298,'FAO crop mapping'!$A$22:$H$60,2,FALSE), "")</f>
        <v/>
      </c>
      <c r="E298" t="str">
        <f>IF(B298="yes",VLOOKUP(A298,'FAO crop mapping'!$A$22:$H$60,3,FALSE), "")</f>
        <v/>
      </c>
      <c r="F298" t="str">
        <f>IF(B298="yes",VLOOKUP(A298,'FAO crop mapping'!$A$22:$H$60,4,FALSE), "")</f>
        <v/>
      </c>
      <c r="G298" t="str">
        <f>IF(B298="yes",VLOOKUP(A298,'FAO crop mapping'!$A$22:$H$60,5,FALSE), "")</f>
        <v/>
      </c>
      <c r="H298" t="e">
        <f>IF(B299="yes",VLOOKUP(A299,'FAO crop mapping'!$A$22:$H$60,6,FALSE), "")</f>
        <v>#N/A</v>
      </c>
      <c r="I298" t="e">
        <f>IF(B299="yes",VLOOKUP(A299,'FAO crop mapping'!$A$22:$H$60,7,FALSE), "")</f>
        <v>#N/A</v>
      </c>
      <c r="J298" t="e">
        <f>IF(B299="yes",VLOOKUP(A299,'FAO crop mapping'!$A$22:$H$60,8,FALSE), "")</f>
        <v>#N/A</v>
      </c>
    </row>
    <row r="299" spans="1:10" x14ac:dyDescent="0.25">
      <c r="A299" t="s">
        <v>355</v>
      </c>
      <c r="B299" t="s">
        <v>79</v>
      </c>
      <c r="C299" t="s">
        <v>79</v>
      </c>
      <c r="D299" t="e">
        <f>IF(B299="yes",VLOOKUP(A299,'FAO crop mapping'!$A$22:$H$60,2,FALSE), "")</f>
        <v>#N/A</v>
      </c>
      <c r="E299" t="e">
        <f>IF(B299="yes",VLOOKUP(A299,'FAO crop mapping'!$A$22:$H$60,3,FALSE), "")</f>
        <v>#N/A</v>
      </c>
      <c r="F299" t="e">
        <f>IF(B299="yes",VLOOKUP(A299,'FAO crop mapping'!$A$22:$H$60,4,FALSE), "")</f>
        <v>#N/A</v>
      </c>
      <c r="G299" t="e">
        <f>IF(B299="yes",VLOOKUP(A299,'FAO crop mapping'!$A$22:$H$60,5,FALSE), "")</f>
        <v>#N/A</v>
      </c>
      <c r="H299" t="str">
        <f>IF(B300="yes",VLOOKUP(A300,'FAO crop mapping'!$A$22:$H$60,6,FALSE), "")</f>
        <v/>
      </c>
      <c r="I299" t="str">
        <f>IF(B300="yes",VLOOKUP(A300,'FAO crop mapping'!$A$22:$H$60,7,FALSE), "")</f>
        <v/>
      </c>
      <c r="J299" t="str">
        <f>IF(B300="yes",VLOOKUP(A300,'FAO crop mapping'!$A$22:$H$60,8,FALSE), "")</f>
        <v/>
      </c>
    </row>
    <row r="300" spans="1:10" x14ac:dyDescent="0.25">
      <c r="A300" t="s">
        <v>356</v>
      </c>
      <c r="B300" t="s">
        <v>80</v>
      </c>
      <c r="C300" t="s">
        <v>80</v>
      </c>
      <c r="D300" t="str">
        <f>IF(B300="yes",VLOOKUP(A300,'FAO crop mapping'!$A$22:$H$60,2,FALSE), "")</f>
        <v/>
      </c>
      <c r="E300" t="str">
        <f>IF(B300="yes",VLOOKUP(A300,'FAO crop mapping'!$A$22:$H$60,3,FALSE), "")</f>
        <v/>
      </c>
      <c r="F300" t="str">
        <f>IF(B300="yes",VLOOKUP(A300,'FAO crop mapping'!$A$22:$H$60,4,FALSE), "")</f>
        <v/>
      </c>
      <c r="G300" t="str">
        <f>IF(B300="yes",VLOOKUP(A300,'FAO crop mapping'!$A$22:$H$60,5,FALSE), "")</f>
        <v/>
      </c>
      <c r="H300" t="e">
        <f>IF(B301="yes",VLOOKUP(A301,'FAO crop mapping'!$A$22:$H$60,6,FALSE), "")</f>
        <v>#N/A</v>
      </c>
      <c r="I300" t="e">
        <f>IF(B301="yes",VLOOKUP(A301,'FAO crop mapping'!$A$22:$H$60,7,FALSE), "")</f>
        <v>#N/A</v>
      </c>
      <c r="J300" t="e">
        <f>IF(B301="yes",VLOOKUP(A301,'FAO crop mapping'!$A$22:$H$60,8,FALSE), "")</f>
        <v>#N/A</v>
      </c>
    </row>
    <row r="301" spans="1:10" x14ac:dyDescent="0.25">
      <c r="A301" t="s">
        <v>357</v>
      </c>
      <c r="B301" t="s">
        <v>79</v>
      </c>
      <c r="C301" t="s">
        <v>79</v>
      </c>
      <c r="D301" t="e">
        <f>IF(B301="yes",VLOOKUP(A301,'FAO crop mapping'!$A$22:$H$60,2,FALSE), "")</f>
        <v>#N/A</v>
      </c>
      <c r="E301" t="e">
        <f>IF(B301="yes",VLOOKUP(A301,'FAO crop mapping'!$A$22:$H$60,3,FALSE), "")</f>
        <v>#N/A</v>
      </c>
      <c r="F301" t="e">
        <f>IF(B301="yes",VLOOKUP(A301,'FAO crop mapping'!$A$22:$H$60,4,FALSE), "")</f>
        <v>#N/A</v>
      </c>
      <c r="G301" t="e">
        <f>IF(B301="yes",VLOOKUP(A301,'FAO crop mapping'!$A$22:$H$60,5,FALSE), "")</f>
        <v>#N/A</v>
      </c>
      <c r="H301" t="str">
        <f>IF(B302="yes",VLOOKUP(A302,'FAO crop mapping'!$A$22:$H$60,6,FALSE), "")</f>
        <v/>
      </c>
      <c r="I301" t="str">
        <f>IF(B302="yes",VLOOKUP(A302,'FAO crop mapping'!$A$22:$H$60,7,FALSE), "")</f>
        <v/>
      </c>
      <c r="J301" t="str">
        <f>IF(B302="yes",VLOOKUP(A302,'FAO crop mapping'!$A$22:$H$60,8,FALSE), "")</f>
        <v/>
      </c>
    </row>
    <row r="302" spans="1:10" x14ac:dyDescent="0.25">
      <c r="A302" t="s">
        <v>358</v>
      </c>
      <c r="B302" t="s">
        <v>80</v>
      </c>
      <c r="C302" t="s">
        <v>80</v>
      </c>
      <c r="D302" t="str">
        <f>IF(B302="yes",VLOOKUP(A302,'FAO crop mapping'!$A$22:$H$60,2,FALSE), "")</f>
        <v/>
      </c>
      <c r="E302" t="str">
        <f>IF(B302="yes",VLOOKUP(A302,'FAO crop mapping'!$A$22:$H$60,3,FALSE), "")</f>
        <v/>
      </c>
      <c r="F302" t="str">
        <f>IF(B302="yes",VLOOKUP(A302,'FAO crop mapping'!$A$22:$H$60,4,FALSE), "")</f>
        <v/>
      </c>
      <c r="G302" t="str">
        <f>IF(B302="yes",VLOOKUP(A302,'FAO crop mapping'!$A$22:$H$60,5,FALSE), "")</f>
        <v/>
      </c>
      <c r="H302" t="str">
        <f>IF(B303="yes",VLOOKUP(A303,'FAO crop mapping'!$A$22:$H$60,6,FALSE), "")</f>
        <v/>
      </c>
      <c r="I302" t="str">
        <f>IF(B303="yes",VLOOKUP(A303,'FAO crop mapping'!$A$22:$H$60,7,FALSE), "")</f>
        <v/>
      </c>
      <c r="J302" t="str">
        <f>IF(B303="yes",VLOOKUP(A303,'FAO crop mapping'!$A$22:$H$60,8,FALSE), "")</f>
        <v/>
      </c>
    </row>
    <row r="303" spans="1:10" x14ac:dyDescent="0.25">
      <c r="A303" t="s">
        <v>359</v>
      </c>
      <c r="B303" t="s">
        <v>80</v>
      </c>
      <c r="C303" t="s">
        <v>80</v>
      </c>
      <c r="D303" t="str">
        <f>IF(B303="yes",VLOOKUP(A303,'FAO crop mapping'!$A$22:$H$60,2,FALSE), "")</f>
        <v/>
      </c>
      <c r="E303" t="str">
        <f>IF(B303="yes",VLOOKUP(A303,'FAO crop mapping'!$A$22:$H$60,3,FALSE), "")</f>
        <v/>
      </c>
      <c r="F303" t="str">
        <f>IF(B303="yes",VLOOKUP(A303,'FAO crop mapping'!$A$22:$H$60,4,FALSE), "")</f>
        <v/>
      </c>
      <c r="G303" t="str">
        <f>IF(B303="yes",VLOOKUP(A303,'FAO crop mapping'!$A$22:$H$60,5,FALSE), "")</f>
        <v/>
      </c>
      <c r="H303" t="str">
        <f>IF(B304="yes",VLOOKUP(A304,'FAO crop mapping'!$A$22:$H$60,6,FALSE), "")</f>
        <v/>
      </c>
      <c r="I303" t="str">
        <f>IF(B304="yes",VLOOKUP(A304,'FAO crop mapping'!$A$22:$H$60,7,FALSE), "")</f>
        <v/>
      </c>
      <c r="J303" t="str">
        <f>IF(B304="yes",VLOOKUP(A304,'FAO crop mapping'!$A$22:$H$60,8,FALSE), "")</f>
        <v/>
      </c>
    </row>
    <row r="304" spans="1:10" x14ac:dyDescent="0.25">
      <c r="A304" t="s">
        <v>360</v>
      </c>
      <c r="B304" t="s">
        <v>80</v>
      </c>
      <c r="C304" t="s">
        <v>80</v>
      </c>
      <c r="D304" t="str">
        <f>IF(B304="yes",VLOOKUP(A304,'FAO crop mapping'!$A$22:$H$60,2,FALSE), "")</f>
        <v/>
      </c>
      <c r="E304" t="str">
        <f>IF(B304="yes",VLOOKUP(A304,'FAO crop mapping'!$A$22:$H$60,3,FALSE), "")</f>
        <v/>
      </c>
      <c r="F304" t="str">
        <f>IF(B304="yes",VLOOKUP(A304,'FAO crop mapping'!$A$22:$H$60,4,FALSE), "")</f>
        <v/>
      </c>
      <c r="G304" t="str">
        <f>IF(B304="yes",VLOOKUP(A304,'FAO crop mapping'!$A$22:$H$60,5,FALSE), "")</f>
        <v/>
      </c>
      <c r="H304" t="e">
        <f>IF(B305="yes",VLOOKUP(A305,'FAO crop mapping'!$A$22:$H$60,6,FALSE), "")</f>
        <v>#N/A</v>
      </c>
      <c r="I304" t="e">
        <f>IF(B305="yes",VLOOKUP(A305,'FAO crop mapping'!$A$22:$H$60,7,FALSE), "")</f>
        <v>#N/A</v>
      </c>
      <c r="J304" t="e">
        <f>IF(B305="yes",VLOOKUP(A305,'FAO crop mapping'!$A$22:$H$60,8,FALSE), "")</f>
        <v>#N/A</v>
      </c>
    </row>
    <row r="305" spans="1:10" x14ac:dyDescent="0.25">
      <c r="A305" t="s">
        <v>361</v>
      </c>
      <c r="B305" t="s">
        <v>79</v>
      </c>
      <c r="C305" t="s">
        <v>79</v>
      </c>
      <c r="D305" t="e">
        <f>IF(B305="yes",VLOOKUP(A305,'FAO crop mapping'!$A$22:$H$60,2,FALSE), "")</f>
        <v>#N/A</v>
      </c>
      <c r="E305" t="e">
        <f>IF(B305="yes",VLOOKUP(A305,'FAO crop mapping'!$A$22:$H$60,3,FALSE), "")</f>
        <v>#N/A</v>
      </c>
      <c r="F305" t="e">
        <f>IF(B305="yes",VLOOKUP(A305,'FAO crop mapping'!$A$22:$H$60,4,FALSE), "")</f>
        <v>#N/A</v>
      </c>
      <c r="G305" t="e">
        <f>IF(B305="yes",VLOOKUP(A305,'FAO crop mapping'!$A$22:$H$60,5,FALSE), "")</f>
        <v>#N/A</v>
      </c>
      <c r="H305" t="e">
        <f>IF(B306="yes",VLOOKUP(A306,'FAO crop mapping'!$A$22:$H$60,6,FALSE), "")</f>
        <v>#N/A</v>
      </c>
      <c r="I305" t="e">
        <f>IF(B306="yes",VLOOKUP(A306,'FAO crop mapping'!$A$22:$H$60,7,FALSE), "")</f>
        <v>#N/A</v>
      </c>
      <c r="J305" t="e">
        <f>IF(B306="yes",VLOOKUP(A306,'FAO crop mapping'!$A$22:$H$60,8,FALSE), "")</f>
        <v>#N/A</v>
      </c>
    </row>
    <row r="306" spans="1:10" x14ac:dyDescent="0.25">
      <c r="A306" t="s">
        <v>362</v>
      </c>
      <c r="B306" t="s">
        <v>79</v>
      </c>
      <c r="C306" t="s">
        <v>79</v>
      </c>
      <c r="D306" t="e">
        <f>IF(B306="yes",VLOOKUP(A306,'FAO crop mapping'!$A$22:$H$60,2,FALSE), "")</f>
        <v>#N/A</v>
      </c>
      <c r="E306" t="e">
        <f>IF(B306="yes",VLOOKUP(A306,'FAO crop mapping'!$A$22:$H$60,3,FALSE), "")</f>
        <v>#N/A</v>
      </c>
      <c r="F306" t="e">
        <f>IF(B306="yes",VLOOKUP(A306,'FAO crop mapping'!$A$22:$H$60,4,FALSE), "")</f>
        <v>#N/A</v>
      </c>
      <c r="G306" t="e">
        <f>IF(B306="yes",VLOOKUP(A306,'FAO crop mapping'!$A$22:$H$60,5,FALSE), "")</f>
        <v>#N/A</v>
      </c>
      <c r="H306" t="str">
        <f>IF(B307="yes",VLOOKUP(A307,'FAO crop mapping'!$A$22:$H$60,6,FALSE), "")</f>
        <v/>
      </c>
      <c r="I306" t="str">
        <f>IF(B307="yes",VLOOKUP(A307,'FAO crop mapping'!$A$22:$H$60,7,FALSE), "")</f>
        <v/>
      </c>
      <c r="J306" t="str">
        <f>IF(B307="yes",VLOOKUP(A307,'FAO crop mapping'!$A$22:$H$60,8,FALSE), "")</f>
        <v/>
      </c>
    </row>
    <row r="307" spans="1:10" x14ac:dyDescent="0.25">
      <c r="A307" t="s">
        <v>363</v>
      </c>
      <c r="B307" t="s">
        <v>80</v>
      </c>
      <c r="C307" t="s">
        <v>80</v>
      </c>
      <c r="D307" t="str">
        <f>IF(B307="yes",VLOOKUP(A307,'FAO crop mapping'!$A$22:$H$60,2,FALSE), "")</f>
        <v/>
      </c>
      <c r="E307" t="str">
        <f>IF(B307="yes",VLOOKUP(A307,'FAO crop mapping'!$A$22:$H$60,3,FALSE), "")</f>
        <v/>
      </c>
      <c r="F307" t="str">
        <f>IF(B307="yes",VLOOKUP(A307,'FAO crop mapping'!$A$22:$H$60,4,FALSE), "")</f>
        <v/>
      </c>
      <c r="G307" t="str">
        <f>IF(B307="yes",VLOOKUP(A307,'FAO crop mapping'!$A$22:$H$60,5,FALSE), "")</f>
        <v/>
      </c>
      <c r="H307" t="str">
        <f>IF(B308="yes",VLOOKUP(A308,'FAO crop mapping'!$A$22:$H$60,6,FALSE), "")</f>
        <v/>
      </c>
      <c r="I307" t="str">
        <f>IF(B308="yes",VLOOKUP(A308,'FAO crop mapping'!$A$22:$H$60,7,FALSE), "")</f>
        <v/>
      </c>
      <c r="J307" t="str">
        <f>IF(B308="yes",VLOOKUP(A308,'FAO crop mapping'!$A$22:$H$60,8,FALSE), "")</f>
        <v/>
      </c>
    </row>
    <row r="308" spans="1:10" x14ac:dyDescent="0.25">
      <c r="A308" t="s">
        <v>364</v>
      </c>
      <c r="B308" t="s">
        <v>80</v>
      </c>
      <c r="C308" t="s">
        <v>80</v>
      </c>
      <c r="D308" t="str">
        <f>IF(B308="yes",VLOOKUP(A308,'FAO crop mapping'!$A$22:$H$60,2,FALSE), "")</f>
        <v/>
      </c>
      <c r="E308" t="str">
        <f>IF(B308="yes",VLOOKUP(A308,'FAO crop mapping'!$A$22:$H$60,3,FALSE), "")</f>
        <v/>
      </c>
      <c r="F308" t="str">
        <f>IF(B308="yes",VLOOKUP(A308,'FAO crop mapping'!$A$22:$H$60,4,FALSE), "")</f>
        <v/>
      </c>
      <c r="G308" t="str">
        <f>IF(B308="yes",VLOOKUP(A308,'FAO crop mapping'!$A$22:$H$60,5,FALSE), "")</f>
        <v/>
      </c>
      <c r="H308" t="str">
        <f>IF(B309="yes",VLOOKUP(A309,'FAO crop mapping'!$A$22:$H$60,6,FALSE), "")</f>
        <v/>
      </c>
      <c r="I308" t="str">
        <f>IF(B309="yes",VLOOKUP(A309,'FAO crop mapping'!$A$22:$H$60,7,FALSE), "")</f>
        <v/>
      </c>
      <c r="J308" t="str">
        <f>IF(B309="yes",VLOOKUP(A309,'FAO crop mapping'!$A$22:$H$60,8,FALSE), "")</f>
        <v/>
      </c>
    </row>
    <row r="309" spans="1:10" x14ac:dyDescent="0.25">
      <c r="A309" t="s">
        <v>365</v>
      </c>
      <c r="B309" t="s">
        <v>80</v>
      </c>
      <c r="C309" t="s">
        <v>80</v>
      </c>
      <c r="D309" t="str">
        <f>IF(B309="yes",VLOOKUP(A309,'FAO crop mapping'!$A$22:$H$60,2,FALSE), "")</f>
        <v/>
      </c>
      <c r="E309" t="str">
        <f>IF(B309="yes",VLOOKUP(A309,'FAO crop mapping'!$A$22:$H$60,3,FALSE), "")</f>
        <v/>
      </c>
      <c r="F309" t="str">
        <f>IF(B309="yes",VLOOKUP(A309,'FAO crop mapping'!$A$22:$H$60,4,FALSE), "")</f>
        <v/>
      </c>
      <c r="G309" t="str">
        <f>IF(B309="yes",VLOOKUP(A309,'FAO crop mapping'!$A$22:$H$60,5,FALSE), "")</f>
        <v/>
      </c>
      <c r="H309" t="str">
        <f>IF(B310="yes",VLOOKUP(A310,'FAO crop mapping'!$A$22:$H$60,6,FALSE), "")</f>
        <v/>
      </c>
      <c r="I309" t="str">
        <f>IF(B310="yes",VLOOKUP(A310,'FAO crop mapping'!$A$22:$H$60,7,FALSE), "")</f>
        <v/>
      </c>
      <c r="J309" t="str">
        <f>IF(B310="yes",VLOOKUP(A310,'FAO crop mapping'!$A$22:$H$60,8,FALSE), "")</f>
        <v/>
      </c>
    </row>
    <row r="310" spans="1:10" x14ac:dyDescent="0.25">
      <c r="A310" t="s">
        <v>366</v>
      </c>
      <c r="B310" t="s">
        <v>80</v>
      </c>
      <c r="C310" t="s">
        <v>80</v>
      </c>
      <c r="D310" t="str">
        <f>IF(B310="yes",VLOOKUP(A310,'FAO crop mapping'!$A$22:$H$60,2,FALSE), "")</f>
        <v/>
      </c>
      <c r="E310" t="str">
        <f>IF(B310="yes",VLOOKUP(A310,'FAO crop mapping'!$A$22:$H$60,3,FALSE), "")</f>
        <v/>
      </c>
      <c r="F310" t="str">
        <f>IF(B310="yes",VLOOKUP(A310,'FAO crop mapping'!$A$22:$H$60,4,FALSE), "")</f>
        <v/>
      </c>
      <c r="G310" t="str">
        <f>IF(B310="yes",VLOOKUP(A310,'FAO crop mapping'!$A$22:$H$60,5,FALSE), "")</f>
        <v/>
      </c>
      <c r="H310" t="str">
        <f>IF(B311="yes",VLOOKUP(A311,'FAO crop mapping'!$A$22:$H$60,6,FALSE), "")</f>
        <v/>
      </c>
      <c r="I310" t="str">
        <f>IF(B311="yes",VLOOKUP(A311,'FAO crop mapping'!$A$22:$H$60,7,FALSE), "")</f>
        <v/>
      </c>
      <c r="J310" t="str">
        <f>IF(B311="yes",VLOOKUP(A311,'FAO crop mapping'!$A$22:$H$60,8,FALSE), "")</f>
        <v/>
      </c>
    </row>
    <row r="311" spans="1:10" x14ac:dyDescent="0.25">
      <c r="A311" t="s">
        <v>367</v>
      </c>
      <c r="B311" t="s">
        <v>80</v>
      </c>
      <c r="C311" t="s">
        <v>80</v>
      </c>
      <c r="D311" t="str">
        <f>IF(B311="yes",VLOOKUP(A311,'FAO crop mapping'!$A$22:$H$60,2,FALSE), "")</f>
        <v/>
      </c>
      <c r="E311" t="str">
        <f>IF(B311="yes",VLOOKUP(A311,'FAO crop mapping'!$A$22:$H$60,3,FALSE), "")</f>
        <v/>
      </c>
      <c r="F311" t="str">
        <f>IF(B311="yes",VLOOKUP(A311,'FAO crop mapping'!$A$22:$H$60,4,FALSE), "")</f>
        <v/>
      </c>
      <c r="G311" t="str">
        <f>IF(B311="yes",VLOOKUP(A311,'FAO crop mapping'!$A$22:$H$60,5,FALSE), "")</f>
        <v/>
      </c>
      <c r="H311" t="str">
        <f>IF(B312="yes",VLOOKUP(A312,'FAO crop mapping'!$A$22:$H$60,6,FALSE), "")</f>
        <v/>
      </c>
      <c r="I311" t="str">
        <f>IF(B312="yes",VLOOKUP(A312,'FAO crop mapping'!$A$22:$H$60,7,FALSE), "")</f>
        <v/>
      </c>
      <c r="J311" t="str">
        <f>IF(B312="yes",VLOOKUP(A312,'FAO crop mapping'!$A$22:$H$60,8,FALSE), "")</f>
        <v/>
      </c>
    </row>
    <row r="312" spans="1:10" x14ac:dyDescent="0.25">
      <c r="A312" t="s">
        <v>368</v>
      </c>
      <c r="B312" t="s">
        <v>80</v>
      </c>
      <c r="C312" t="s">
        <v>80</v>
      </c>
      <c r="D312" t="str">
        <f>IF(B312="yes",VLOOKUP(A312,'FAO crop mapping'!$A$22:$H$60,2,FALSE), "")</f>
        <v/>
      </c>
      <c r="E312" t="str">
        <f>IF(B312="yes",VLOOKUP(A312,'FAO crop mapping'!$A$22:$H$60,3,FALSE), "")</f>
        <v/>
      </c>
      <c r="F312" t="str">
        <f>IF(B312="yes",VLOOKUP(A312,'FAO crop mapping'!$A$22:$H$60,4,FALSE), "")</f>
        <v/>
      </c>
      <c r="G312" t="str">
        <f>IF(B312="yes",VLOOKUP(A312,'FAO crop mapping'!$A$22:$H$60,5,FALSE), "")</f>
        <v/>
      </c>
      <c r="H312" t="str">
        <f>IF(B313="yes",VLOOKUP(A313,'FAO crop mapping'!$A$22:$H$60,6,FALSE), "")</f>
        <v/>
      </c>
      <c r="I312" t="str">
        <f>IF(B313="yes",VLOOKUP(A313,'FAO crop mapping'!$A$22:$H$60,7,FALSE), "")</f>
        <v/>
      </c>
      <c r="J312" t="str">
        <f>IF(B313="yes",VLOOKUP(A313,'FAO crop mapping'!$A$22:$H$60,8,FALSE), "")</f>
        <v/>
      </c>
    </row>
    <row r="313" spans="1:10" x14ac:dyDescent="0.25">
      <c r="A313" t="s">
        <v>369</v>
      </c>
      <c r="B313" t="s">
        <v>80</v>
      </c>
      <c r="C313" t="s">
        <v>80</v>
      </c>
      <c r="D313" t="str">
        <f>IF(B313="yes",VLOOKUP(A313,'FAO crop mapping'!$A$22:$H$60,2,FALSE), "")</f>
        <v/>
      </c>
      <c r="E313" t="str">
        <f>IF(B313="yes",VLOOKUP(A313,'FAO crop mapping'!$A$22:$H$60,3,FALSE), "")</f>
        <v/>
      </c>
      <c r="F313" t="str">
        <f>IF(B313="yes",VLOOKUP(A313,'FAO crop mapping'!$A$22:$H$60,4,FALSE), "")</f>
        <v/>
      </c>
      <c r="G313" t="str">
        <f>IF(B313="yes",VLOOKUP(A313,'FAO crop mapping'!$A$22:$H$60,5,FALSE), "")</f>
        <v/>
      </c>
      <c r="H313" t="str">
        <f>IF(B314="yes",VLOOKUP(A314,'FAO crop mapping'!$A$22:$H$60,6,FALSE), "")</f>
        <v/>
      </c>
      <c r="I313" t="str">
        <f>IF(B314="yes",VLOOKUP(A314,'FAO crop mapping'!$A$22:$H$60,7,FALSE), "")</f>
        <v/>
      </c>
      <c r="J313" t="str">
        <f>IF(B314="yes",VLOOKUP(A314,'FAO crop mapping'!$A$22:$H$60,8,FALSE), "")</f>
        <v/>
      </c>
    </row>
    <row r="314" spans="1:10" x14ac:dyDescent="0.25">
      <c r="A314" t="s">
        <v>370</v>
      </c>
      <c r="B314" t="s">
        <v>80</v>
      </c>
      <c r="C314" t="s">
        <v>80</v>
      </c>
      <c r="D314" t="str">
        <f>IF(B314="yes",VLOOKUP(A314,'FAO crop mapping'!$A$22:$H$60,2,FALSE), "")</f>
        <v/>
      </c>
      <c r="E314" t="str">
        <f>IF(B314="yes",VLOOKUP(A314,'FAO crop mapping'!$A$22:$H$60,3,FALSE), "")</f>
        <v/>
      </c>
      <c r="F314" t="str">
        <f>IF(B314="yes",VLOOKUP(A314,'FAO crop mapping'!$A$22:$H$60,4,FALSE), "")</f>
        <v/>
      </c>
      <c r="G314" t="str">
        <f>IF(B314="yes",VLOOKUP(A314,'FAO crop mapping'!$A$22:$H$60,5,FALSE), "")</f>
        <v/>
      </c>
      <c r="H314" t="str">
        <f>IF(B315="yes",VLOOKUP(A315,'FAO crop mapping'!$A$22:$H$60,6,FALSE), "")</f>
        <v/>
      </c>
      <c r="I314" t="str">
        <f>IF(B315="yes",VLOOKUP(A315,'FAO crop mapping'!$A$22:$H$60,7,FALSE), "")</f>
        <v/>
      </c>
      <c r="J314" t="str">
        <f>IF(B315="yes",VLOOKUP(A315,'FAO crop mapping'!$A$22:$H$60,8,FALSE), "")</f>
        <v/>
      </c>
    </row>
    <row r="315" spans="1:10" x14ac:dyDescent="0.25">
      <c r="A315" t="s">
        <v>371</v>
      </c>
      <c r="B315" t="s">
        <v>80</v>
      </c>
      <c r="C315" t="s">
        <v>80</v>
      </c>
      <c r="D315" t="str">
        <f>IF(B315="yes",VLOOKUP(A315,'FAO crop mapping'!$A$22:$H$60,2,FALSE), "")</f>
        <v/>
      </c>
      <c r="E315" t="str">
        <f>IF(B315="yes",VLOOKUP(A315,'FAO crop mapping'!$A$22:$H$60,3,FALSE), "")</f>
        <v/>
      </c>
      <c r="F315" t="str">
        <f>IF(B315="yes",VLOOKUP(A315,'FAO crop mapping'!$A$22:$H$60,4,FALSE), "")</f>
        <v/>
      </c>
      <c r="G315" t="str">
        <f>IF(B315="yes",VLOOKUP(A315,'FAO crop mapping'!$A$22:$H$60,5,FALSE), "")</f>
        <v/>
      </c>
      <c r="H315" t="str">
        <f>IF(B316="yes",VLOOKUP(A316,'FAO crop mapping'!$A$22:$H$60,6,FALSE), "")</f>
        <v/>
      </c>
      <c r="I315" t="str">
        <f>IF(B316="yes",VLOOKUP(A316,'FAO crop mapping'!$A$22:$H$60,7,FALSE), "")</f>
        <v/>
      </c>
      <c r="J315" t="str">
        <f>IF(B316="yes",VLOOKUP(A316,'FAO crop mapping'!$A$22:$H$60,8,FALSE), "")</f>
        <v/>
      </c>
    </row>
    <row r="316" spans="1:10" x14ac:dyDescent="0.25">
      <c r="A316" t="s">
        <v>372</v>
      </c>
      <c r="B316" t="s">
        <v>80</v>
      </c>
      <c r="C316" t="s">
        <v>80</v>
      </c>
      <c r="D316" t="str">
        <f>IF(B316="yes",VLOOKUP(A316,'FAO crop mapping'!$A$22:$H$60,2,FALSE), "")</f>
        <v/>
      </c>
      <c r="E316" t="str">
        <f>IF(B316="yes",VLOOKUP(A316,'FAO crop mapping'!$A$22:$H$60,3,FALSE), "")</f>
        <v/>
      </c>
      <c r="F316" t="str">
        <f>IF(B316="yes",VLOOKUP(A316,'FAO crop mapping'!$A$22:$H$60,4,FALSE), "")</f>
        <v/>
      </c>
      <c r="G316" t="str">
        <f>IF(B316="yes",VLOOKUP(A316,'FAO crop mapping'!$A$22:$H$60,5,FALSE), "")</f>
        <v/>
      </c>
      <c r="H316" t="str">
        <f>IF(B317="yes",VLOOKUP(A317,'FAO crop mapping'!$A$22:$H$60,6,FALSE), "")</f>
        <v/>
      </c>
      <c r="I316" t="str">
        <f>IF(B317="yes",VLOOKUP(A317,'FAO crop mapping'!$A$22:$H$60,7,FALSE), "")</f>
        <v/>
      </c>
      <c r="J316" t="str">
        <f>IF(B317="yes",VLOOKUP(A317,'FAO crop mapping'!$A$22:$H$60,8,FALSE), "")</f>
        <v/>
      </c>
    </row>
    <row r="317" spans="1:10" x14ac:dyDescent="0.25">
      <c r="A317" t="s">
        <v>373</v>
      </c>
      <c r="B317" t="s">
        <v>80</v>
      </c>
      <c r="C317" t="s">
        <v>80</v>
      </c>
      <c r="D317" t="str">
        <f>IF(B317="yes",VLOOKUP(A317,'FAO crop mapping'!$A$22:$H$60,2,FALSE), "")</f>
        <v/>
      </c>
      <c r="E317" t="str">
        <f>IF(B317="yes",VLOOKUP(A317,'FAO crop mapping'!$A$22:$H$60,3,FALSE), "")</f>
        <v/>
      </c>
      <c r="F317" t="str">
        <f>IF(B317="yes",VLOOKUP(A317,'FAO crop mapping'!$A$22:$H$60,4,FALSE), "")</f>
        <v/>
      </c>
      <c r="G317" t="str">
        <f>IF(B317="yes",VLOOKUP(A317,'FAO crop mapping'!$A$22:$H$60,5,FALSE), "")</f>
        <v/>
      </c>
      <c r="H317" t="str">
        <f>IF(B318="yes",VLOOKUP(A318,'FAO crop mapping'!$A$22:$H$60,6,FALSE), "")</f>
        <v/>
      </c>
      <c r="I317" t="str">
        <f>IF(B318="yes",VLOOKUP(A318,'FAO crop mapping'!$A$22:$H$60,7,FALSE), "")</f>
        <v/>
      </c>
      <c r="J317" t="str">
        <f>IF(B318="yes",VLOOKUP(A318,'FAO crop mapping'!$A$22:$H$60,8,FALSE), "")</f>
        <v/>
      </c>
    </row>
    <row r="318" spans="1:10" x14ac:dyDescent="0.25">
      <c r="A318" t="s">
        <v>374</v>
      </c>
      <c r="B318" t="s">
        <v>80</v>
      </c>
      <c r="C318" t="s">
        <v>80</v>
      </c>
      <c r="D318" t="str">
        <f>IF(B318="yes",VLOOKUP(A318,'FAO crop mapping'!$A$22:$H$60,2,FALSE), "")</f>
        <v/>
      </c>
      <c r="E318" t="str">
        <f>IF(B318="yes",VLOOKUP(A318,'FAO crop mapping'!$A$22:$H$60,3,FALSE), "")</f>
        <v/>
      </c>
      <c r="F318" t="str">
        <f>IF(B318="yes",VLOOKUP(A318,'FAO crop mapping'!$A$22:$H$60,4,FALSE), "")</f>
        <v/>
      </c>
      <c r="G318" t="str">
        <f>IF(B318="yes",VLOOKUP(A318,'FAO crop mapping'!$A$22:$H$60,5,FALSE), "")</f>
        <v/>
      </c>
      <c r="H318" t="str">
        <f>IF(B319="yes",VLOOKUP(A319,'FAO crop mapping'!$A$22:$H$60,6,FALSE), "")</f>
        <v/>
      </c>
      <c r="I318" t="str">
        <f>IF(B319="yes",VLOOKUP(A319,'FAO crop mapping'!$A$22:$H$60,7,FALSE), "")</f>
        <v/>
      </c>
      <c r="J318" t="str">
        <f>IF(B319="yes",VLOOKUP(A319,'FAO crop mapping'!$A$22:$H$60,8,FALSE), "")</f>
        <v/>
      </c>
    </row>
    <row r="319" spans="1:10" x14ac:dyDescent="0.25">
      <c r="A319" t="s">
        <v>375</v>
      </c>
      <c r="B319" t="s">
        <v>80</v>
      </c>
      <c r="C319" t="s">
        <v>80</v>
      </c>
      <c r="D319" t="str">
        <f>IF(B319="yes",VLOOKUP(A319,'FAO crop mapping'!$A$22:$H$60,2,FALSE), "")</f>
        <v/>
      </c>
      <c r="E319" t="str">
        <f>IF(B319="yes",VLOOKUP(A319,'FAO crop mapping'!$A$22:$H$60,3,FALSE), "")</f>
        <v/>
      </c>
      <c r="F319" t="str">
        <f>IF(B319="yes",VLOOKUP(A319,'FAO crop mapping'!$A$22:$H$60,4,FALSE), "")</f>
        <v/>
      </c>
      <c r="G319" t="str">
        <f>IF(B319="yes",VLOOKUP(A319,'FAO crop mapping'!$A$22:$H$60,5,FALSE), "")</f>
        <v/>
      </c>
      <c r="H319" t="str">
        <f>IF(B320="yes",VLOOKUP(A320,'FAO crop mapping'!$A$22:$H$60,6,FALSE), "")</f>
        <v/>
      </c>
      <c r="I319" t="str">
        <f>IF(B320="yes",VLOOKUP(A320,'FAO crop mapping'!$A$22:$H$60,7,FALSE), "")</f>
        <v/>
      </c>
      <c r="J319" t="str">
        <f>IF(B320="yes",VLOOKUP(A320,'FAO crop mapping'!$A$22:$H$60,8,FALSE), "")</f>
        <v/>
      </c>
    </row>
    <row r="320" spans="1:10" x14ac:dyDescent="0.25">
      <c r="A320" t="s">
        <v>376</v>
      </c>
      <c r="B320" t="s">
        <v>80</v>
      </c>
      <c r="C320" t="s">
        <v>80</v>
      </c>
      <c r="D320" t="str">
        <f>IF(B320="yes",VLOOKUP(A320,'FAO crop mapping'!$A$22:$H$60,2,FALSE), "")</f>
        <v/>
      </c>
      <c r="E320" t="str">
        <f>IF(B320="yes",VLOOKUP(A320,'FAO crop mapping'!$A$22:$H$60,3,FALSE), "")</f>
        <v/>
      </c>
      <c r="F320" t="str">
        <f>IF(B320="yes",VLOOKUP(A320,'FAO crop mapping'!$A$22:$H$60,4,FALSE), "")</f>
        <v/>
      </c>
      <c r="G320" t="str">
        <f>IF(B320="yes",VLOOKUP(A320,'FAO crop mapping'!$A$22:$H$60,5,FALSE), "")</f>
        <v/>
      </c>
      <c r="H320" t="str">
        <f>IF(B321="yes",VLOOKUP(A321,'FAO crop mapping'!$A$22:$H$60,6,FALSE), "")</f>
        <v/>
      </c>
      <c r="I320" t="str">
        <f>IF(B321="yes",VLOOKUP(A321,'FAO crop mapping'!$A$22:$H$60,7,FALSE), "")</f>
        <v/>
      </c>
      <c r="J320" t="str">
        <f>IF(B321="yes",VLOOKUP(A321,'FAO crop mapping'!$A$22:$H$60,8,FALSE), "")</f>
        <v/>
      </c>
    </row>
    <row r="321" spans="1:10" x14ac:dyDescent="0.25">
      <c r="A321" t="s">
        <v>377</v>
      </c>
      <c r="B321" t="s">
        <v>80</v>
      </c>
      <c r="C321" t="s">
        <v>80</v>
      </c>
      <c r="D321" t="str">
        <f>IF(B321="yes",VLOOKUP(A321,'FAO crop mapping'!$A$22:$H$60,2,FALSE), "")</f>
        <v/>
      </c>
      <c r="E321" t="str">
        <f>IF(B321="yes",VLOOKUP(A321,'FAO crop mapping'!$A$22:$H$60,3,FALSE), "")</f>
        <v/>
      </c>
      <c r="F321" t="str">
        <f>IF(B321="yes",VLOOKUP(A321,'FAO crop mapping'!$A$22:$H$60,4,FALSE), "")</f>
        <v/>
      </c>
      <c r="G321" t="str">
        <f>IF(B321="yes",VLOOKUP(A321,'FAO crop mapping'!$A$22:$H$60,5,FALSE), "")</f>
        <v/>
      </c>
      <c r="H321" t="str">
        <f>IF(B322="yes",VLOOKUP(A322,'FAO crop mapping'!$A$22:$H$60,6,FALSE), "")</f>
        <v/>
      </c>
      <c r="I321" t="str">
        <f>IF(B322="yes",VLOOKUP(A322,'FAO crop mapping'!$A$22:$H$60,7,FALSE), "")</f>
        <v/>
      </c>
      <c r="J321" t="str">
        <f>IF(B322="yes",VLOOKUP(A322,'FAO crop mapping'!$A$22:$H$60,8,FALSE), "")</f>
        <v/>
      </c>
    </row>
    <row r="322" spans="1:10" x14ac:dyDescent="0.25">
      <c r="A322" t="s">
        <v>378</v>
      </c>
      <c r="B322" t="s">
        <v>80</v>
      </c>
      <c r="C322" t="s">
        <v>80</v>
      </c>
      <c r="D322" t="str">
        <f>IF(B322="yes",VLOOKUP(A322,'FAO crop mapping'!$A$22:$H$60,2,FALSE), "")</f>
        <v/>
      </c>
      <c r="E322" t="str">
        <f>IF(B322="yes",VLOOKUP(A322,'FAO crop mapping'!$A$22:$H$60,3,FALSE), "")</f>
        <v/>
      </c>
      <c r="F322" t="str">
        <f>IF(B322="yes",VLOOKUP(A322,'FAO crop mapping'!$A$22:$H$60,4,FALSE), "")</f>
        <v/>
      </c>
      <c r="G322" t="str">
        <f>IF(B322="yes",VLOOKUP(A322,'FAO crop mapping'!$A$22:$H$60,5,FALSE), "")</f>
        <v/>
      </c>
      <c r="H322" t="str">
        <f>IF(B323="yes",VLOOKUP(A323,'FAO crop mapping'!$A$22:$H$60,6,FALSE), "")</f>
        <v/>
      </c>
      <c r="I322" t="str">
        <f>IF(B323="yes",VLOOKUP(A323,'FAO crop mapping'!$A$22:$H$60,7,FALSE), "")</f>
        <v/>
      </c>
      <c r="J322" t="str">
        <f>IF(B323="yes",VLOOKUP(A323,'FAO crop mapping'!$A$22:$H$60,8,FALSE), "")</f>
        <v/>
      </c>
    </row>
    <row r="323" spans="1:10" x14ac:dyDescent="0.25">
      <c r="A323" t="s">
        <v>379</v>
      </c>
      <c r="B323" t="s">
        <v>80</v>
      </c>
      <c r="C323" t="s">
        <v>80</v>
      </c>
      <c r="D323" t="str">
        <f>IF(B323="yes",VLOOKUP(A323,'FAO crop mapping'!$A$22:$H$60,2,FALSE), "")</f>
        <v/>
      </c>
      <c r="E323" t="str">
        <f>IF(B323="yes",VLOOKUP(A323,'FAO crop mapping'!$A$22:$H$60,3,FALSE), "")</f>
        <v/>
      </c>
      <c r="F323" t="str">
        <f>IF(B323="yes",VLOOKUP(A323,'FAO crop mapping'!$A$22:$H$60,4,FALSE), "")</f>
        <v/>
      </c>
      <c r="G323" t="str">
        <f>IF(B323="yes",VLOOKUP(A323,'FAO crop mapping'!$A$22:$H$60,5,FALSE), "")</f>
        <v/>
      </c>
      <c r="H323" t="str">
        <f>IF(B324="yes",VLOOKUP(A324,'FAO crop mapping'!$A$22:$H$60,6,FALSE), "")</f>
        <v/>
      </c>
      <c r="I323" t="str">
        <f>IF(B324="yes",VLOOKUP(A324,'FAO crop mapping'!$A$22:$H$60,7,FALSE), "")</f>
        <v/>
      </c>
      <c r="J323" t="str">
        <f>IF(B324="yes",VLOOKUP(A324,'FAO crop mapping'!$A$22:$H$60,8,FALSE), "")</f>
        <v/>
      </c>
    </row>
    <row r="324" spans="1:10" x14ac:dyDescent="0.25">
      <c r="A324" t="s">
        <v>380</v>
      </c>
      <c r="B324" t="s">
        <v>80</v>
      </c>
      <c r="C324" t="s">
        <v>80</v>
      </c>
      <c r="D324" t="str">
        <f>IF(B324="yes",VLOOKUP(A324,'FAO crop mapping'!$A$22:$H$60,2,FALSE), "")</f>
        <v/>
      </c>
      <c r="E324" t="str">
        <f>IF(B324="yes",VLOOKUP(A324,'FAO crop mapping'!$A$22:$H$60,3,FALSE), "")</f>
        <v/>
      </c>
      <c r="F324" t="str">
        <f>IF(B324="yes",VLOOKUP(A324,'FAO crop mapping'!$A$22:$H$60,4,FALSE), "")</f>
        <v/>
      </c>
      <c r="G324" t="str">
        <f>IF(B324="yes",VLOOKUP(A324,'FAO crop mapping'!$A$22:$H$60,5,FALSE), "")</f>
        <v/>
      </c>
      <c r="H324" t="str">
        <f>IF(B325="yes",VLOOKUP(A325,'FAO crop mapping'!$A$22:$H$60,6,FALSE), "")</f>
        <v/>
      </c>
      <c r="I324" t="str">
        <f>IF(B325="yes",VLOOKUP(A325,'FAO crop mapping'!$A$22:$H$60,7,FALSE), "")</f>
        <v/>
      </c>
      <c r="J324" t="str">
        <f>IF(B325="yes",VLOOKUP(A325,'FAO crop mapping'!$A$22:$H$60,8,FALSE), "")</f>
        <v/>
      </c>
    </row>
    <row r="325" spans="1:10" x14ac:dyDescent="0.25">
      <c r="A325" t="s">
        <v>381</v>
      </c>
      <c r="B325" t="s">
        <v>80</v>
      </c>
      <c r="C325" t="s">
        <v>80</v>
      </c>
      <c r="D325" t="str">
        <f>IF(B325="yes",VLOOKUP(A325,'FAO crop mapping'!$A$22:$H$60,2,FALSE), "")</f>
        <v/>
      </c>
      <c r="E325" t="str">
        <f>IF(B325="yes",VLOOKUP(A325,'FAO crop mapping'!$A$22:$H$60,3,FALSE), "")</f>
        <v/>
      </c>
      <c r="F325" t="str">
        <f>IF(B325="yes",VLOOKUP(A325,'FAO crop mapping'!$A$22:$H$60,4,FALSE), "")</f>
        <v/>
      </c>
      <c r="G325" t="str">
        <f>IF(B325="yes",VLOOKUP(A325,'FAO crop mapping'!$A$22:$H$60,5,FALSE), "")</f>
        <v/>
      </c>
      <c r="H325" t="str">
        <f>IF(B326="yes",VLOOKUP(A326,'FAO crop mapping'!$A$22:$H$60,6,FALSE), "")</f>
        <v/>
      </c>
      <c r="I325" t="str">
        <f>IF(B326="yes",VLOOKUP(A326,'FAO crop mapping'!$A$22:$H$60,7,FALSE), "")</f>
        <v/>
      </c>
      <c r="J325" t="str">
        <f>IF(B326="yes",VLOOKUP(A326,'FAO crop mapping'!$A$22:$H$60,8,FALSE), "")</f>
        <v/>
      </c>
    </row>
    <row r="326" spans="1:10" x14ac:dyDescent="0.25">
      <c r="A326" t="s">
        <v>382</v>
      </c>
      <c r="B326" t="s">
        <v>80</v>
      </c>
      <c r="C326" t="s">
        <v>80</v>
      </c>
      <c r="D326" t="str">
        <f>IF(B326="yes",VLOOKUP(A326,'FAO crop mapping'!$A$22:$H$60,2,FALSE), "")</f>
        <v/>
      </c>
      <c r="E326" t="str">
        <f>IF(B326="yes",VLOOKUP(A326,'FAO crop mapping'!$A$22:$H$60,3,FALSE), "")</f>
        <v/>
      </c>
      <c r="F326" t="str">
        <f>IF(B326="yes",VLOOKUP(A326,'FAO crop mapping'!$A$22:$H$60,4,FALSE), "")</f>
        <v/>
      </c>
      <c r="G326" t="str">
        <f>IF(B326="yes",VLOOKUP(A326,'FAO crop mapping'!$A$22:$H$60,5,FALSE), "")</f>
        <v/>
      </c>
      <c r="H326" t="str">
        <f>IF(B327="yes",VLOOKUP(A327,'FAO crop mapping'!$A$22:$H$60,6,FALSE), "")</f>
        <v/>
      </c>
      <c r="I326" t="str">
        <f>IF(B327="yes",VLOOKUP(A327,'FAO crop mapping'!$A$22:$H$60,7,FALSE), "")</f>
        <v/>
      </c>
      <c r="J326" t="str">
        <f>IF(B327="yes",VLOOKUP(A327,'FAO crop mapping'!$A$22:$H$60,8,FALSE), "")</f>
        <v/>
      </c>
    </row>
    <row r="327" spans="1:10" x14ac:dyDescent="0.25">
      <c r="A327" t="s">
        <v>383</v>
      </c>
      <c r="B327" t="s">
        <v>80</v>
      </c>
      <c r="C327" t="s">
        <v>80</v>
      </c>
      <c r="D327" t="str">
        <f>IF(B327="yes",VLOOKUP(A327,'FAO crop mapping'!$A$22:$H$60,2,FALSE), "")</f>
        <v/>
      </c>
      <c r="E327" t="str">
        <f>IF(B327="yes",VLOOKUP(A327,'FAO crop mapping'!$A$22:$H$60,3,FALSE), "")</f>
        <v/>
      </c>
      <c r="F327" t="str">
        <f>IF(B327="yes",VLOOKUP(A327,'FAO crop mapping'!$A$22:$H$60,4,FALSE), "")</f>
        <v/>
      </c>
      <c r="G327" t="str">
        <f>IF(B327="yes",VLOOKUP(A327,'FAO crop mapping'!$A$22:$H$60,5,FALSE), "")</f>
        <v/>
      </c>
      <c r="H327" t="str">
        <f>IF(B328="yes",VLOOKUP(A328,'FAO crop mapping'!$A$22:$H$60,6,FALSE), "")</f>
        <v/>
      </c>
      <c r="I327" t="str">
        <f>IF(B328="yes",VLOOKUP(A328,'FAO crop mapping'!$A$22:$H$60,7,FALSE), "")</f>
        <v/>
      </c>
      <c r="J327" t="str">
        <f>IF(B328="yes",VLOOKUP(A328,'FAO crop mapping'!$A$22:$H$60,8,FALSE), "")</f>
        <v/>
      </c>
    </row>
    <row r="328" spans="1:10" x14ac:dyDescent="0.25">
      <c r="A328" t="s">
        <v>384</v>
      </c>
      <c r="B328" t="s">
        <v>80</v>
      </c>
      <c r="C328" t="s">
        <v>80</v>
      </c>
      <c r="D328" t="str">
        <f>IF(B328="yes",VLOOKUP(A328,'FAO crop mapping'!$A$22:$H$60,2,FALSE), "")</f>
        <v/>
      </c>
      <c r="E328" t="str">
        <f>IF(B328="yes",VLOOKUP(A328,'FAO crop mapping'!$A$22:$H$60,3,FALSE), "")</f>
        <v/>
      </c>
      <c r="F328" t="str">
        <f>IF(B328="yes",VLOOKUP(A328,'FAO crop mapping'!$A$22:$H$60,4,FALSE), "")</f>
        <v/>
      </c>
      <c r="G328" t="str">
        <f>IF(B328="yes",VLOOKUP(A328,'FAO crop mapping'!$A$22:$H$60,5,FALSE), "")</f>
        <v/>
      </c>
      <c r="H328" t="str">
        <f>IF(B329="yes",VLOOKUP(A329,'FAO crop mapping'!$A$22:$H$60,6,FALSE), "")</f>
        <v/>
      </c>
      <c r="I328" t="str">
        <f>IF(B329="yes",VLOOKUP(A329,'FAO crop mapping'!$A$22:$H$60,7,FALSE), "")</f>
        <v/>
      </c>
      <c r="J328" t="str">
        <f>IF(B329="yes",VLOOKUP(A329,'FAO crop mapping'!$A$22:$H$60,8,FALSE), "")</f>
        <v/>
      </c>
    </row>
    <row r="329" spans="1:10" x14ac:dyDescent="0.25">
      <c r="A329" t="s">
        <v>385</v>
      </c>
      <c r="B329" t="s">
        <v>80</v>
      </c>
      <c r="C329" t="s">
        <v>80</v>
      </c>
      <c r="D329" t="str">
        <f>IF(B329="yes",VLOOKUP(A329,'FAO crop mapping'!$A$22:$H$60,2,FALSE), "")</f>
        <v/>
      </c>
      <c r="E329" t="str">
        <f>IF(B329="yes",VLOOKUP(A329,'FAO crop mapping'!$A$22:$H$60,3,FALSE), "")</f>
        <v/>
      </c>
      <c r="F329" t="str">
        <f>IF(B329="yes",VLOOKUP(A329,'FAO crop mapping'!$A$22:$H$60,4,FALSE), "")</f>
        <v/>
      </c>
      <c r="G329" t="str">
        <f>IF(B329="yes",VLOOKUP(A329,'FAO crop mapping'!$A$22:$H$60,5,FALSE), "")</f>
        <v/>
      </c>
      <c r="H329" t="str">
        <f>IF(B330="yes",VLOOKUP(A330,'FAO crop mapping'!$A$22:$H$60,6,FALSE), "")</f>
        <v/>
      </c>
      <c r="I329" t="str">
        <f>IF(B330="yes",VLOOKUP(A330,'FAO crop mapping'!$A$22:$H$60,7,FALSE), "")</f>
        <v/>
      </c>
      <c r="J329" t="str">
        <f>IF(B330="yes",VLOOKUP(A330,'FAO crop mapping'!$A$22:$H$60,8,FALSE), "")</f>
        <v/>
      </c>
    </row>
    <row r="330" spans="1:10" x14ac:dyDescent="0.25">
      <c r="A330" t="s">
        <v>386</v>
      </c>
      <c r="B330" t="s">
        <v>80</v>
      </c>
      <c r="C330" t="s">
        <v>80</v>
      </c>
      <c r="D330" t="str">
        <f>IF(B330="yes",VLOOKUP(A330,'FAO crop mapping'!$A$22:$H$60,2,FALSE), "")</f>
        <v/>
      </c>
      <c r="E330" t="str">
        <f>IF(B330="yes",VLOOKUP(A330,'FAO crop mapping'!$A$22:$H$60,3,FALSE), "")</f>
        <v/>
      </c>
      <c r="F330" t="str">
        <f>IF(B330="yes",VLOOKUP(A330,'FAO crop mapping'!$A$22:$H$60,4,FALSE), "")</f>
        <v/>
      </c>
      <c r="G330" t="str">
        <f>IF(B330="yes",VLOOKUP(A330,'FAO crop mapping'!$A$22:$H$60,5,FALSE), "")</f>
        <v/>
      </c>
      <c r="H330" t="str">
        <f>IF(B331="yes",VLOOKUP(A331,'FAO crop mapping'!$A$22:$H$60,6,FALSE), "")</f>
        <v/>
      </c>
      <c r="I330" t="str">
        <f>IF(B331="yes",VLOOKUP(A331,'FAO crop mapping'!$A$22:$H$60,7,FALSE), "")</f>
        <v/>
      </c>
      <c r="J330" t="str">
        <f>IF(B331="yes",VLOOKUP(A331,'FAO crop mapping'!$A$22:$H$60,8,FALSE), "")</f>
        <v/>
      </c>
    </row>
    <row r="331" spans="1:10" x14ac:dyDescent="0.25">
      <c r="A331" t="s">
        <v>387</v>
      </c>
      <c r="B331" t="s">
        <v>80</v>
      </c>
      <c r="C331" t="s">
        <v>80</v>
      </c>
      <c r="D331" t="str">
        <f>IF(B331="yes",VLOOKUP(A331,'FAO crop mapping'!$A$22:$H$60,2,FALSE), "")</f>
        <v/>
      </c>
      <c r="E331" t="str">
        <f>IF(B331="yes",VLOOKUP(A331,'FAO crop mapping'!$A$22:$H$60,3,FALSE), "")</f>
        <v/>
      </c>
      <c r="F331" t="str">
        <f>IF(B331="yes",VLOOKUP(A331,'FAO crop mapping'!$A$22:$H$60,4,FALSE), "")</f>
        <v/>
      </c>
      <c r="G331" t="str">
        <f>IF(B331="yes",VLOOKUP(A331,'FAO crop mapping'!$A$22:$H$60,5,FALSE), "")</f>
        <v/>
      </c>
      <c r="H331" t="str">
        <f>IF(B332="yes",VLOOKUP(A332,'FAO crop mapping'!$A$22:$H$60,6,FALSE), "")</f>
        <v/>
      </c>
      <c r="I331" t="str">
        <f>IF(B332="yes",VLOOKUP(A332,'FAO crop mapping'!$A$22:$H$60,7,FALSE), "")</f>
        <v/>
      </c>
      <c r="J331" t="str">
        <f>IF(B332="yes",VLOOKUP(A332,'FAO crop mapping'!$A$22:$H$60,8,FALSE), "")</f>
        <v/>
      </c>
    </row>
    <row r="332" spans="1:10" x14ac:dyDescent="0.25">
      <c r="A332" t="s">
        <v>388</v>
      </c>
      <c r="B332" t="s">
        <v>80</v>
      </c>
      <c r="C332" t="s">
        <v>80</v>
      </c>
      <c r="D332" t="str">
        <f>IF(B332="yes",VLOOKUP(A332,'FAO crop mapping'!$A$22:$H$60,2,FALSE), "")</f>
        <v/>
      </c>
      <c r="E332" t="str">
        <f>IF(B332="yes",VLOOKUP(A332,'FAO crop mapping'!$A$22:$H$60,3,FALSE), "")</f>
        <v/>
      </c>
      <c r="F332" t="str">
        <f>IF(B332="yes",VLOOKUP(A332,'FAO crop mapping'!$A$22:$H$60,4,FALSE), "")</f>
        <v/>
      </c>
      <c r="G332" t="str">
        <f>IF(B332="yes",VLOOKUP(A332,'FAO crop mapping'!$A$22:$H$60,5,FALSE), "")</f>
        <v/>
      </c>
      <c r="H332" t="str">
        <f>IF(B333="yes",VLOOKUP(A333,'FAO crop mapping'!$A$22:$H$60,6,FALSE), "")</f>
        <v/>
      </c>
      <c r="I332" t="str">
        <f>IF(B333="yes",VLOOKUP(A333,'FAO crop mapping'!$A$22:$H$60,7,FALSE), "")</f>
        <v/>
      </c>
      <c r="J332" t="str">
        <f>IF(B333="yes",VLOOKUP(A333,'FAO crop mapping'!$A$22:$H$60,8,FALSE), "")</f>
        <v/>
      </c>
    </row>
    <row r="333" spans="1:10" x14ac:dyDescent="0.25">
      <c r="A333" t="s">
        <v>389</v>
      </c>
      <c r="B333" t="s">
        <v>80</v>
      </c>
      <c r="C333" t="s">
        <v>80</v>
      </c>
      <c r="D333" t="str">
        <f>IF(B333="yes",VLOOKUP(A333,'FAO crop mapping'!$A$22:$H$60,2,FALSE), "")</f>
        <v/>
      </c>
      <c r="E333" t="str">
        <f>IF(B333="yes",VLOOKUP(A333,'FAO crop mapping'!$A$22:$H$60,3,FALSE), "")</f>
        <v/>
      </c>
      <c r="F333" t="str">
        <f>IF(B333="yes",VLOOKUP(A333,'FAO crop mapping'!$A$22:$H$60,4,FALSE), "")</f>
        <v/>
      </c>
      <c r="G333" t="str">
        <f>IF(B333="yes",VLOOKUP(A333,'FAO crop mapping'!$A$22:$H$60,5,FALSE), "")</f>
        <v/>
      </c>
      <c r="H333" t="str">
        <f>IF(B334="yes",VLOOKUP(A334,'FAO crop mapping'!$A$22:$H$60,6,FALSE), "")</f>
        <v/>
      </c>
      <c r="I333" t="str">
        <f>IF(B334="yes",VLOOKUP(A334,'FAO crop mapping'!$A$22:$H$60,7,FALSE), "")</f>
        <v/>
      </c>
      <c r="J333" t="str">
        <f>IF(B334="yes",VLOOKUP(A334,'FAO crop mapping'!$A$22:$H$60,8,FALSE), "")</f>
        <v/>
      </c>
    </row>
    <row r="334" spans="1:10" x14ac:dyDescent="0.25">
      <c r="B334" t="s">
        <v>80</v>
      </c>
      <c r="C334" t="s">
        <v>80</v>
      </c>
      <c r="D334" t="str">
        <f>IF(B334="yes",VLOOKUP(A334,'FAO crop mapping'!$A$22:$H$60,2,FALSE), "")</f>
        <v/>
      </c>
      <c r="E334" t="str">
        <f>IF(B334="yes",VLOOKUP(A334,'FAO crop mapping'!$A$22:$H$60,3,FALSE), "")</f>
        <v/>
      </c>
      <c r="F334" t="str">
        <f>IF(B334="yes",VLOOKUP(A334,'FAO crop mapping'!$A$22:$H$60,4,FALSE), "")</f>
        <v/>
      </c>
      <c r="G334" t="str">
        <f>IF(B334="yes",VLOOKUP(A334,'FAO crop mapping'!$A$22:$H$60,5,FALSE), "")</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31BA-71AD-4BD7-AFA6-E9329F158062}">
  <sheetPr filterMode="1"/>
  <dimension ref="A1:K334"/>
  <sheetViews>
    <sheetView topLeftCell="A245" workbookViewId="0">
      <selection activeCell="A199" activeCellId="7" sqref="A15 A18 A55 A70 A123 A149 A128 A199"/>
    </sheetView>
  </sheetViews>
  <sheetFormatPr defaultRowHeight="15" x14ac:dyDescent="0.25"/>
  <cols>
    <col min="1" max="1" width="50.42578125" customWidth="1"/>
    <col min="2" max="2" width="9.140625" customWidth="1"/>
    <col min="3" max="3" width="14" customWidth="1"/>
    <col min="4" max="4" width="24.85546875" customWidth="1"/>
    <col min="5" max="5" width="26" customWidth="1"/>
    <col min="6" max="6" width="24.85546875" customWidth="1"/>
    <col min="7" max="7" width="23" customWidth="1"/>
    <col min="8" max="8" width="21.7109375" customWidth="1"/>
    <col min="9" max="9" width="32.28515625" customWidth="1"/>
    <col min="10" max="10" width="51.140625" customWidth="1"/>
    <col min="11" max="11" width="169.28515625" customWidth="1"/>
  </cols>
  <sheetData>
    <row r="1" spans="1:11" x14ac:dyDescent="0.25">
      <c r="A1" t="s">
        <v>390</v>
      </c>
      <c r="B1" t="s">
        <v>76</v>
      </c>
      <c r="C1" t="s">
        <v>77</v>
      </c>
      <c r="D1" t="s">
        <v>391</v>
      </c>
      <c r="E1" t="s">
        <v>392</v>
      </c>
      <c r="F1" t="s">
        <v>393</v>
      </c>
      <c r="G1" t="s">
        <v>394</v>
      </c>
      <c r="H1" t="s">
        <v>395</v>
      </c>
      <c r="I1" t="s">
        <v>396</v>
      </c>
      <c r="J1" t="s">
        <v>397</v>
      </c>
      <c r="K1" t="s">
        <v>398</v>
      </c>
    </row>
    <row r="2" spans="1:11" x14ac:dyDescent="0.25">
      <c r="A2" t="s">
        <v>6</v>
      </c>
      <c r="B2" t="s">
        <v>79</v>
      </c>
      <c r="C2" t="s">
        <v>79</v>
      </c>
      <c r="D2">
        <v>0.88</v>
      </c>
      <c r="E2">
        <v>1.0900000000000001</v>
      </c>
      <c r="F2">
        <v>0.88</v>
      </c>
      <c r="G2">
        <v>6.0000000000000001E-3</v>
      </c>
      <c r="H2">
        <v>1.3</v>
      </c>
      <c r="I2">
        <v>0.22</v>
      </c>
      <c r="J2">
        <v>8.9999999999999993E-3</v>
      </c>
      <c r="K2" t="s">
        <v>399</v>
      </c>
    </row>
    <row r="3" spans="1:11" x14ac:dyDescent="0.25">
      <c r="A3" t="s">
        <v>78</v>
      </c>
      <c r="B3" t="s">
        <v>79</v>
      </c>
      <c r="C3" t="s">
        <v>80</v>
      </c>
      <c r="D3">
        <v>0.88</v>
      </c>
      <c r="E3">
        <v>1.0900000000000001</v>
      </c>
      <c r="F3">
        <v>0.88</v>
      </c>
      <c r="G3">
        <v>6.0000000000000001E-3</v>
      </c>
      <c r="H3">
        <v>1.3</v>
      </c>
      <c r="I3">
        <v>0.22</v>
      </c>
      <c r="J3">
        <v>8.9999999999999993E-3</v>
      </c>
      <c r="K3" t="s">
        <v>401</v>
      </c>
    </row>
    <row r="4" spans="1:11" hidden="1" x14ac:dyDescent="0.25">
      <c r="A4" t="s">
        <v>81</v>
      </c>
      <c r="B4" t="s">
        <v>80</v>
      </c>
      <c r="C4" t="s">
        <v>80</v>
      </c>
      <c r="K4" t="s">
        <v>400</v>
      </c>
    </row>
    <row r="5" spans="1:11" x14ac:dyDescent="0.25">
      <c r="A5" t="s">
        <v>82</v>
      </c>
      <c r="B5" t="s">
        <v>79</v>
      </c>
      <c r="C5" t="s">
        <v>79</v>
      </c>
      <c r="D5">
        <v>0.88</v>
      </c>
      <c r="E5">
        <v>1.0900000000000001</v>
      </c>
      <c r="F5">
        <v>0.88</v>
      </c>
      <c r="G5">
        <v>6.0000000000000001E-3</v>
      </c>
      <c r="H5">
        <v>1.3</v>
      </c>
      <c r="I5">
        <v>0.22</v>
      </c>
      <c r="J5">
        <v>8.9999999999999993E-3</v>
      </c>
      <c r="K5" t="s">
        <v>402</v>
      </c>
    </row>
    <row r="6" spans="1:11" x14ac:dyDescent="0.25">
      <c r="A6" t="s">
        <v>83</v>
      </c>
      <c r="B6" t="s">
        <v>79</v>
      </c>
      <c r="C6" t="s">
        <v>80</v>
      </c>
      <c r="D6">
        <v>0.88</v>
      </c>
      <c r="E6">
        <v>1.0900000000000001</v>
      </c>
      <c r="F6">
        <v>0.88</v>
      </c>
      <c r="G6">
        <v>6.0000000000000001E-3</v>
      </c>
      <c r="H6">
        <v>1.3</v>
      </c>
      <c r="I6">
        <v>0.22</v>
      </c>
      <c r="J6">
        <v>8.9999999999999993E-3</v>
      </c>
      <c r="K6" t="s">
        <v>401</v>
      </c>
    </row>
    <row r="7" spans="1:11" x14ac:dyDescent="0.25">
      <c r="A7" t="s">
        <v>84</v>
      </c>
      <c r="B7" t="s">
        <v>79</v>
      </c>
      <c r="C7" t="s">
        <v>80</v>
      </c>
      <c r="D7">
        <v>0.22</v>
      </c>
      <c r="E7">
        <v>0.1</v>
      </c>
      <c r="F7">
        <v>1.06</v>
      </c>
      <c r="G7">
        <v>1.9E-2</v>
      </c>
      <c r="H7">
        <v>0.4</v>
      </c>
      <c r="I7">
        <v>0.2</v>
      </c>
      <c r="J7">
        <v>1.4E-2</v>
      </c>
      <c r="K7" t="s">
        <v>403</v>
      </c>
    </row>
    <row r="8" spans="1:11" x14ac:dyDescent="0.25">
      <c r="A8" t="s">
        <v>85</v>
      </c>
      <c r="B8" t="s">
        <v>79</v>
      </c>
      <c r="C8" t="s">
        <v>80</v>
      </c>
      <c r="D8">
        <v>0.22</v>
      </c>
      <c r="E8">
        <v>0.1</v>
      </c>
      <c r="F8">
        <v>1.06</v>
      </c>
      <c r="G8">
        <v>1.9E-2</v>
      </c>
      <c r="H8">
        <v>0.4</v>
      </c>
      <c r="I8">
        <v>0.2</v>
      </c>
      <c r="J8">
        <v>1.4E-2</v>
      </c>
      <c r="K8" t="s">
        <v>403</v>
      </c>
    </row>
    <row r="9" spans="1:11" x14ac:dyDescent="0.25">
      <c r="A9" t="s">
        <v>86</v>
      </c>
      <c r="B9" t="s">
        <v>79</v>
      </c>
      <c r="C9" t="s">
        <v>80</v>
      </c>
      <c r="D9">
        <v>0.88</v>
      </c>
      <c r="E9">
        <v>1.0900000000000001</v>
      </c>
      <c r="F9">
        <v>0.88</v>
      </c>
      <c r="G9">
        <v>6.0000000000000001E-3</v>
      </c>
      <c r="H9">
        <v>1.3</v>
      </c>
      <c r="I9">
        <v>0.22</v>
      </c>
      <c r="J9">
        <v>8.9999999999999993E-3</v>
      </c>
      <c r="K9" t="s">
        <v>402</v>
      </c>
    </row>
    <row r="10" spans="1:11" x14ac:dyDescent="0.25">
      <c r="A10" t="s">
        <v>87</v>
      </c>
      <c r="B10" t="s">
        <v>79</v>
      </c>
      <c r="C10" t="s">
        <v>80</v>
      </c>
      <c r="D10">
        <v>0.22</v>
      </c>
      <c r="E10">
        <v>0.1</v>
      </c>
      <c r="F10">
        <v>1.06</v>
      </c>
      <c r="G10">
        <v>1.9E-2</v>
      </c>
      <c r="H10">
        <v>0.4</v>
      </c>
      <c r="I10">
        <v>0.2</v>
      </c>
      <c r="J10">
        <v>1.4E-2</v>
      </c>
      <c r="K10" t="s">
        <v>404</v>
      </c>
    </row>
    <row r="11" spans="1:11" x14ac:dyDescent="0.25">
      <c r="A11" t="s">
        <v>88</v>
      </c>
      <c r="B11" t="s">
        <v>79</v>
      </c>
      <c r="C11" t="s">
        <v>80</v>
      </c>
      <c r="D11">
        <v>0.22</v>
      </c>
      <c r="E11">
        <v>0.1</v>
      </c>
      <c r="F11">
        <v>1.06</v>
      </c>
      <c r="G11">
        <v>1.9E-2</v>
      </c>
      <c r="H11">
        <v>0.4</v>
      </c>
      <c r="I11">
        <v>0.2</v>
      </c>
      <c r="J11">
        <v>1.4E-2</v>
      </c>
      <c r="K11" t="s">
        <v>404</v>
      </c>
    </row>
    <row r="12" spans="1:11" hidden="1" x14ac:dyDescent="0.25">
      <c r="A12" t="s">
        <v>89</v>
      </c>
      <c r="B12" t="s">
        <v>80</v>
      </c>
      <c r="C12" t="s">
        <v>80</v>
      </c>
      <c r="K12" t="s">
        <v>400</v>
      </c>
    </row>
    <row r="13" spans="1:11" x14ac:dyDescent="0.25">
      <c r="A13" t="s">
        <v>90</v>
      </c>
      <c r="B13" t="s">
        <v>79</v>
      </c>
      <c r="C13" t="s">
        <v>79</v>
      </c>
      <c r="D13">
        <v>0.22</v>
      </c>
      <c r="E13">
        <v>0.1</v>
      </c>
      <c r="F13">
        <v>1.06</v>
      </c>
      <c r="G13">
        <v>1.9E-2</v>
      </c>
      <c r="H13">
        <v>0.4</v>
      </c>
      <c r="I13">
        <v>0.2</v>
      </c>
      <c r="J13">
        <v>1.4E-2</v>
      </c>
      <c r="K13" t="s">
        <v>403</v>
      </c>
    </row>
    <row r="14" spans="1:11" hidden="1" x14ac:dyDescent="0.25">
      <c r="A14" t="s">
        <v>91</v>
      </c>
      <c r="B14" t="s">
        <v>80</v>
      </c>
      <c r="C14" t="s">
        <v>80</v>
      </c>
      <c r="K14" t="s">
        <v>400</v>
      </c>
    </row>
    <row r="15" spans="1:11" x14ac:dyDescent="0.25">
      <c r="A15" t="s">
        <v>92</v>
      </c>
      <c r="B15" t="s">
        <v>79</v>
      </c>
      <c r="C15" t="s">
        <v>80</v>
      </c>
      <c r="D15">
        <v>0.94</v>
      </c>
      <c r="E15">
        <v>1.07</v>
      </c>
      <c r="F15">
        <v>1.54</v>
      </c>
      <c r="G15">
        <v>1.6E-2</v>
      </c>
      <c r="H15">
        <v>1</v>
      </c>
      <c r="I15">
        <v>0.1</v>
      </c>
      <c r="J15">
        <v>0</v>
      </c>
      <c r="K15" t="s">
        <v>410</v>
      </c>
    </row>
    <row r="16" spans="1:11" x14ac:dyDescent="0.25">
      <c r="A16" t="s">
        <v>93</v>
      </c>
      <c r="B16" t="s">
        <v>79</v>
      </c>
      <c r="C16" t="s">
        <v>80</v>
      </c>
      <c r="D16">
        <v>0.22</v>
      </c>
      <c r="E16">
        <v>0.1</v>
      </c>
      <c r="F16">
        <v>1.06</v>
      </c>
      <c r="G16">
        <v>1.9E-2</v>
      </c>
      <c r="H16">
        <v>1.2</v>
      </c>
      <c r="I16">
        <v>0.22</v>
      </c>
      <c r="J16">
        <v>1.4E-2</v>
      </c>
      <c r="K16" t="s">
        <v>403</v>
      </c>
    </row>
    <row r="17" spans="1:11" x14ac:dyDescent="0.25">
      <c r="A17" t="s">
        <v>18</v>
      </c>
      <c r="B17" t="s">
        <v>79</v>
      </c>
      <c r="C17" t="s">
        <v>80</v>
      </c>
      <c r="D17">
        <v>1</v>
      </c>
      <c r="E17">
        <v>0.98</v>
      </c>
      <c r="F17">
        <v>0.59</v>
      </c>
      <c r="G17">
        <v>7.0000000000000001E-3</v>
      </c>
      <c r="H17">
        <v>2.1</v>
      </c>
      <c r="I17">
        <v>0.19</v>
      </c>
      <c r="J17">
        <v>8.0000000000000002E-3</v>
      </c>
      <c r="K17" t="s">
        <v>399</v>
      </c>
    </row>
    <row r="18" spans="1:11" x14ac:dyDescent="0.25">
      <c r="A18" t="s">
        <v>39</v>
      </c>
      <c r="B18" t="s">
        <v>79</v>
      </c>
      <c r="C18" t="s">
        <v>79</v>
      </c>
      <c r="D18">
        <v>1</v>
      </c>
      <c r="E18">
        <v>1.1299999999999999</v>
      </c>
      <c r="F18">
        <v>0.85</v>
      </c>
      <c r="G18">
        <v>8.0000000000000002E-3</v>
      </c>
      <c r="H18">
        <v>2.1</v>
      </c>
      <c r="I18">
        <v>0.19</v>
      </c>
      <c r="J18">
        <v>8.0000000000000002E-3</v>
      </c>
      <c r="K18" t="s">
        <v>415</v>
      </c>
    </row>
    <row r="19" spans="1:11" hidden="1" x14ac:dyDescent="0.25">
      <c r="A19" t="s">
        <v>94</v>
      </c>
      <c r="B19" t="s">
        <v>80</v>
      </c>
      <c r="C19" t="s">
        <v>80</v>
      </c>
      <c r="K19" t="s">
        <v>400</v>
      </c>
    </row>
    <row r="20" spans="1:11" hidden="1" x14ac:dyDescent="0.25">
      <c r="A20" t="s">
        <v>95</v>
      </c>
      <c r="B20" t="s">
        <v>80</v>
      </c>
      <c r="C20" t="s">
        <v>80</v>
      </c>
      <c r="K20" t="s">
        <v>400</v>
      </c>
    </row>
    <row r="21" spans="1:11" hidden="1" x14ac:dyDescent="0.25">
      <c r="A21" t="s">
        <v>96</v>
      </c>
      <c r="B21" t="s">
        <v>80</v>
      </c>
      <c r="C21" t="s">
        <v>80</v>
      </c>
      <c r="K21" t="s">
        <v>400</v>
      </c>
    </row>
    <row r="22" spans="1:11" x14ac:dyDescent="0.25">
      <c r="A22" t="s">
        <v>97</v>
      </c>
      <c r="B22" t="s">
        <v>79</v>
      </c>
      <c r="C22" t="s">
        <v>80</v>
      </c>
      <c r="D22">
        <v>0.22</v>
      </c>
      <c r="E22">
        <v>0.1</v>
      </c>
      <c r="F22">
        <v>1.06</v>
      </c>
      <c r="G22">
        <v>1.9E-2</v>
      </c>
      <c r="H22">
        <v>0.4</v>
      </c>
      <c r="I22">
        <v>0.2</v>
      </c>
      <c r="J22">
        <v>1.4E-2</v>
      </c>
      <c r="K22" t="s">
        <v>403</v>
      </c>
    </row>
    <row r="23" spans="1:11" x14ac:dyDescent="0.25">
      <c r="A23" t="s">
        <v>98</v>
      </c>
      <c r="B23" t="s">
        <v>79</v>
      </c>
      <c r="C23" t="s">
        <v>80</v>
      </c>
      <c r="D23">
        <v>0.88</v>
      </c>
      <c r="E23">
        <v>1.0900000000000001</v>
      </c>
      <c r="F23">
        <v>0.88</v>
      </c>
      <c r="G23">
        <v>6.0000000000000001E-3</v>
      </c>
      <c r="H23">
        <v>1.3</v>
      </c>
      <c r="I23">
        <v>0.22</v>
      </c>
      <c r="J23">
        <v>8.9999999999999993E-3</v>
      </c>
      <c r="K23" t="s">
        <v>402</v>
      </c>
    </row>
    <row r="24" spans="1:11" hidden="1" x14ac:dyDescent="0.25">
      <c r="A24" t="s">
        <v>99</v>
      </c>
      <c r="B24" t="s">
        <v>80</v>
      </c>
      <c r="C24" t="s">
        <v>80</v>
      </c>
      <c r="K24" t="s">
        <v>400</v>
      </c>
    </row>
    <row r="25" spans="1:11" hidden="1" x14ac:dyDescent="0.25">
      <c r="A25" t="s">
        <v>100</v>
      </c>
      <c r="B25" t="s">
        <v>80</v>
      </c>
      <c r="C25" t="s">
        <v>80</v>
      </c>
      <c r="H25">
        <v>1.3</v>
      </c>
      <c r="I25">
        <v>0.22</v>
      </c>
      <c r="J25">
        <v>8.9999999999999993E-3</v>
      </c>
      <c r="K25" t="s">
        <v>400</v>
      </c>
    </row>
    <row r="26" spans="1:11" x14ac:dyDescent="0.25">
      <c r="A26" t="s">
        <v>41</v>
      </c>
      <c r="B26" t="s">
        <v>79</v>
      </c>
      <c r="C26" t="s">
        <v>79</v>
      </c>
      <c r="D26">
        <v>0.88</v>
      </c>
      <c r="E26">
        <v>1.0900000000000001</v>
      </c>
      <c r="F26">
        <v>0.88</v>
      </c>
      <c r="G26">
        <v>6.0000000000000001E-3</v>
      </c>
      <c r="H26">
        <v>1.3</v>
      </c>
      <c r="I26">
        <v>0.22</v>
      </c>
      <c r="J26">
        <v>8.9999999999999993E-3</v>
      </c>
      <c r="K26" t="s">
        <v>416</v>
      </c>
    </row>
    <row r="27" spans="1:11" hidden="1" x14ac:dyDescent="0.25">
      <c r="A27" t="s">
        <v>101</v>
      </c>
      <c r="B27" t="s">
        <v>80</v>
      </c>
      <c r="C27" t="s">
        <v>80</v>
      </c>
      <c r="K27" t="s">
        <v>400</v>
      </c>
    </row>
    <row r="28" spans="1:11" hidden="1" x14ac:dyDescent="0.25">
      <c r="A28" t="s">
        <v>102</v>
      </c>
      <c r="B28" t="s">
        <v>80</v>
      </c>
      <c r="C28" t="s">
        <v>80</v>
      </c>
      <c r="K28" t="s">
        <v>400</v>
      </c>
    </row>
    <row r="29" spans="1:11" hidden="1" x14ac:dyDescent="0.25">
      <c r="A29" t="s">
        <v>103</v>
      </c>
      <c r="B29" t="s">
        <v>80</v>
      </c>
      <c r="C29" t="s">
        <v>80</v>
      </c>
      <c r="K29" t="s">
        <v>400</v>
      </c>
    </row>
    <row r="30" spans="1:11" hidden="1" x14ac:dyDescent="0.25">
      <c r="A30" t="s">
        <v>104</v>
      </c>
      <c r="B30" t="s">
        <v>80</v>
      </c>
      <c r="C30" t="s">
        <v>80</v>
      </c>
      <c r="K30" t="s">
        <v>400</v>
      </c>
    </row>
    <row r="31" spans="1:11" hidden="1" x14ac:dyDescent="0.25">
      <c r="A31" t="s">
        <v>105</v>
      </c>
      <c r="B31" t="s">
        <v>80</v>
      </c>
      <c r="C31" t="s">
        <v>80</v>
      </c>
      <c r="K31" t="s">
        <v>400</v>
      </c>
    </row>
    <row r="32" spans="1:11" hidden="1" x14ac:dyDescent="0.25">
      <c r="A32" t="s">
        <v>106</v>
      </c>
      <c r="B32" t="s">
        <v>80</v>
      </c>
      <c r="C32" t="s">
        <v>80</v>
      </c>
      <c r="K32" t="s">
        <v>400</v>
      </c>
    </row>
    <row r="33" spans="1:11" hidden="1" x14ac:dyDescent="0.25">
      <c r="A33" t="s">
        <v>107</v>
      </c>
      <c r="B33" t="s">
        <v>80</v>
      </c>
      <c r="C33" t="s">
        <v>80</v>
      </c>
      <c r="K33" t="s">
        <v>400</v>
      </c>
    </row>
    <row r="34" spans="1:11" x14ac:dyDescent="0.25">
      <c r="A34" t="s">
        <v>108</v>
      </c>
      <c r="B34" t="s">
        <v>79</v>
      </c>
      <c r="C34" t="s">
        <v>80</v>
      </c>
      <c r="D34">
        <v>0.22</v>
      </c>
      <c r="E34">
        <v>0.1</v>
      </c>
      <c r="F34">
        <v>1.06</v>
      </c>
      <c r="G34">
        <v>1.9E-2</v>
      </c>
      <c r="H34">
        <v>0.4</v>
      </c>
      <c r="I34">
        <v>0.2</v>
      </c>
      <c r="J34">
        <v>1.4E-2</v>
      </c>
      <c r="K34" t="s">
        <v>404</v>
      </c>
    </row>
    <row r="35" spans="1:11" hidden="1" x14ac:dyDescent="0.25">
      <c r="A35" t="s">
        <v>109</v>
      </c>
      <c r="B35" t="s">
        <v>80</v>
      </c>
      <c r="C35" t="s">
        <v>80</v>
      </c>
      <c r="K35" t="s">
        <v>400</v>
      </c>
    </row>
    <row r="36" spans="1:11" x14ac:dyDescent="0.25">
      <c r="A36" t="s">
        <v>110</v>
      </c>
      <c r="B36" t="s">
        <v>79</v>
      </c>
      <c r="C36" t="s">
        <v>80</v>
      </c>
      <c r="D36">
        <v>0.88</v>
      </c>
      <c r="E36">
        <v>1.0900000000000001</v>
      </c>
      <c r="F36">
        <v>0.88</v>
      </c>
      <c r="G36">
        <v>6.0000000000000001E-3</v>
      </c>
      <c r="H36">
        <v>1.3</v>
      </c>
      <c r="I36">
        <v>0.22</v>
      </c>
      <c r="J36">
        <v>8.9999999999999993E-3</v>
      </c>
      <c r="K36" t="s">
        <v>401</v>
      </c>
    </row>
    <row r="37" spans="1:11" x14ac:dyDescent="0.25">
      <c r="A37" t="s">
        <v>111</v>
      </c>
      <c r="B37" t="s">
        <v>79</v>
      </c>
      <c r="C37" t="s">
        <v>80</v>
      </c>
      <c r="D37">
        <v>0.22</v>
      </c>
      <c r="E37">
        <v>0.1</v>
      </c>
      <c r="F37">
        <v>1.06</v>
      </c>
      <c r="G37">
        <v>1.9E-2</v>
      </c>
      <c r="H37">
        <v>0.4</v>
      </c>
      <c r="I37">
        <v>0.2</v>
      </c>
      <c r="J37">
        <v>1.4E-2</v>
      </c>
      <c r="K37" t="s">
        <v>403</v>
      </c>
    </row>
    <row r="38" spans="1:11" x14ac:dyDescent="0.25">
      <c r="A38" t="s">
        <v>42</v>
      </c>
      <c r="B38" t="s">
        <v>79</v>
      </c>
      <c r="C38" t="s">
        <v>80</v>
      </c>
      <c r="D38">
        <v>0.22</v>
      </c>
      <c r="E38">
        <v>0.1</v>
      </c>
      <c r="F38">
        <v>1.06</v>
      </c>
      <c r="G38">
        <v>1.9E-2</v>
      </c>
      <c r="H38">
        <v>0.4</v>
      </c>
      <c r="I38">
        <v>0.2</v>
      </c>
      <c r="J38">
        <v>1.4E-2</v>
      </c>
      <c r="K38" t="s">
        <v>417</v>
      </c>
    </row>
    <row r="39" spans="1:11" x14ac:dyDescent="0.25">
      <c r="A39" t="s">
        <v>112</v>
      </c>
      <c r="B39" t="s">
        <v>79</v>
      </c>
      <c r="C39" t="s">
        <v>79</v>
      </c>
      <c r="D39">
        <v>0.88</v>
      </c>
      <c r="E39">
        <v>1.0900000000000001</v>
      </c>
      <c r="F39">
        <v>0.88</v>
      </c>
      <c r="G39">
        <v>6.0000000000000001E-3</v>
      </c>
      <c r="H39">
        <v>1.3</v>
      </c>
      <c r="I39">
        <v>0.22</v>
      </c>
      <c r="J39">
        <v>8.9999999999999993E-3</v>
      </c>
      <c r="K39" t="s">
        <v>402</v>
      </c>
    </row>
    <row r="40" spans="1:11" hidden="1" x14ac:dyDescent="0.25">
      <c r="A40" t="s">
        <v>113</v>
      </c>
      <c r="B40" t="s">
        <v>80</v>
      </c>
      <c r="C40" t="s">
        <v>80</v>
      </c>
      <c r="K40" t="s">
        <v>400</v>
      </c>
    </row>
    <row r="41" spans="1:11" hidden="1" x14ac:dyDescent="0.25">
      <c r="A41" t="s">
        <v>114</v>
      </c>
      <c r="B41" t="s">
        <v>80</v>
      </c>
      <c r="C41" t="s">
        <v>80</v>
      </c>
      <c r="K41" t="s">
        <v>400</v>
      </c>
    </row>
    <row r="42" spans="1:11" x14ac:dyDescent="0.25">
      <c r="A42" t="s">
        <v>115</v>
      </c>
      <c r="B42" t="s">
        <v>79</v>
      </c>
      <c r="C42" t="s">
        <v>79</v>
      </c>
      <c r="D42">
        <v>0.22</v>
      </c>
      <c r="E42">
        <v>0.1</v>
      </c>
      <c r="F42">
        <v>1.06</v>
      </c>
      <c r="G42">
        <v>1.9E-2</v>
      </c>
      <c r="H42">
        <v>0.4</v>
      </c>
      <c r="I42">
        <v>0.2</v>
      </c>
      <c r="J42">
        <v>1.4E-2</v>
      </c>
      <c r="K42" t="s">
        <v>405</v>
      </c>
    </row>
    <row r="43" spans="1:11" x14ac:dyDescent="0.25">
      <c r="A43" t="s">
        <v>116</v>
      </c>
      <c r="B43" t="s">
        <v>79</v>
      </c>
      <c r="C43" t="s">
        <v>80</v>
      </c>
      <c r="D43">
        <v>0.91</v>
      </c>
      <c r="E43">
        <v>0.93</v>
      </c>
      <c r="F43">
        <v>1.35</v>
      </c>
      <c r="G43">
        <v>8.0000000000000002E-3</v>
      </c>
      <c r="H43">
        <v>2.1</v>
      </c>
      <c r="I43">
        <v>0.19</v>
      </c>
      <c r="J43">
        <v>8.0000000000000002E-3</v>
      </c>
      <c r="K43" t="s">
        <v>409</v>
      </c>
    </row>
    <row r="44" spans="1:11" hidden="1" x14ac:dyDescent="0.25">
      <c r="A44" t="s">
        <v>117</v>
      </c>
      <c r="B44" t="s">
        <v>80</v>
      </c>
      <c r="C44" t="s">
        <v>80</v>
      </c>
      <c r="K44" t="s">
        <v>400</v>
      </c>
    </row>
    <row r="45" spans="1:11" hidden="1" x14ac:dyDescent="0.25">
      <c r="A45" t="s">
        <v>118</v>
      </c>
      <c r="B45" t="s">
        <v>80</v>
      </c>
      <c r="C45" t="s">
        <v>80</v>
      </c>
      <c r="K45" t="s">
        <v>400</v>
      </c>
    </row>
    <row r="46" spans="1:11" x14ac:dyDescent="0.25">
      <c r="A46" t="s">
        <v>119</v>
      </c>
      <c r="B46" t="s">
        <v>79</v>
      </c>
      <c r="C46" t="s">
        <v>80</v>
      </c>
      <c r="D46">
        <v>0.22</v>
      </c>
      <c r="E46">
        <v>0.1</v>
      </c>
      <c r="F46">
        <v>1.06</v>
      </c>
      <c r="G46">
        <v>1.9E-2</v>
      </c>
      <c r="H46">
        <v>0.4</v>
      </c>
      <c r="I46">
        <v>0.2</v>
      </c>
      <c r="J46">
        <v>1.4E-2</v>
      </c>
      <c r="K46" t="s">
        <v>404</v>
      </c>
    </row>
    <row r="47" spans="1:11" x14ac:dyDescent="0.25">
      <c r="A47" t="s">
        <v>120</v>
      </c>
      <c r="B47" t="s">
        <v>79</v>
      </c>
      <c r="C47" t="s">
        <v>79</v>
      </c>
      <c r="D47">
        <v>0.88</v>
      </c>
      <c r="E47">
        <v>1.0900000000000001</v>
      </c>
      <c r="F47">
        <v>0.88</v>
      </c>
      <c r="G47">
        <v>6.0000000000000001E-3</v>
      </c>
      <c r="H47">
        <v>1.3</v>
      </c>
      <c r="I47">
        <v>0.22</v>
      </c>
      <c r="J47">
        <v>8.9999999999999993E-3</v>
      </c>
      <c r="K47" t="s">
        <v>411</v>
      </c>
    </row>
    <row r="48" spans="1:11" hidden="1" x14ac:dyDescent="0.25">
      <c r="A48" t="s">
        <v>121</v>
      </c>
      <c r="B48" t="s">
        <v>80</v>
      </c>
      <c r="C48" t="s">
        <v>80</v>
      </c>
      <c r="K48" t="s">
        <v>400</v>
      </c>
    </row>
    <row r="49" spans="1:11" hidden="1" x14ac:dyDescent="0.25">
      <c r="A49" t="s">
        <v>122</v>
      </c>
      <c r="B49" t="s">
        <v>80</v>
      </c>
      <c r="C49" t="s">
        <v>80</v>
      </c>
      <c r="K49" t="s">
        <v>400</v>
      </c>
    </row>
    <row r="50" spans="1:11" hidden="1" x14ac:dyDescent="0.25">
      <c r="A50" t="s">
        <v>123</v>
      </c>
      <c r="B50" t="s">
        <v>80</v>
      </c>
      <c r="C50" t="s">
        <v>80</v>
      </c>
      <c r="K50" t="s">
        <v>400</v>
      </c>
    </row>
    <row r="51" spans="1:11" hidden="1" x14ac:dyDescent="0.25">
      <c r="A51" t="s">
        <v>124</v>
      </c>
      <c r="B51" t="s">
        <v>80</v>
      </c>
      <c r="C51" t="s">
        <v>80</v>
      </c>
      <c r="K51" t="s">
        <v>400</v>
      </c>
    </row>
    <row r="52" spans="1:11" hidden="1" x14ac:dyDescent="0.25">
      <c r="A52" t="s">
        <v>125</v>
      </c>
      <c r="B52" t="s">
        <v>80</v>
      </c>
      <c r="C52" t="s">
        <v>80</v>
      </c>
      <c r="K52" t="s">
        <v>400</v>
      </c>
    </row>
    <row r="53" spans="1:11" x14ac:dyDescent="0.25">
      <c r="A53" t="s">
        <v>126</v>
      </c>
      <c r="B53" t="s">
        <v>79</v>
      </c>
      <c r="C53" t="s">
        <v>80</v>
      </c>
      <c r="D53">
        <v>0.22</v>
      </c>
      <c r="E53">
        <v>0.1</v>
      </c>
      <c r="F53">
        <v>1.06</v>
      </c>
      <c r="G53">
        <v>1.9E-2</v>
      </c>
      <c r="H53">
        <v>0.4</v>
      </c>
      <c r="I53">
        <v>0.2</v>
      </c>
      <c r="J53">
        <v>1.4E-2</v>
      </c>
      <c r="K53" t="s">
        <v>403</v>
      </c>
    </row>
    <row r="54" spans="1:11" x14ac:dyDescent="0.25">
      <c r="A54" t="s">
        <v>127</v>
      </c>
      <c r="B54" t="s">
        <v>79</v>
      </c>
      <c r="C54" t="s">
        <v>80</v>
      </c>
      <c r="D54">
        <v>0.88</v>
      </c>
      <c r="E54">
        <v>1.0900000000000001</v>
      </c>
      <c r="F54">
        <v>0.88</v>
      </c>
      <c r="G54">
        <v>6.0000000000000001E-3</v>
      </c>
      <c r="H54">
        <v>1.3</v>
      </c>
      <c r="I54">
        <v>0.22</v>
      </c>
      <c r="J54">
        <v>8.9999999999999993E-3</v>
      </c>
      <c r="K54" t="s">
        <v>402</v>
      </c>
    </row>
    <row r="55" spans="1:11" x14ac:dyDescent="0.25">
      <c r="A55" t="s">
        <v>128</v>
      </c>
      <c r="B55" t="s">
        <v>79</v>
      </c>
      <c r="C55" t="s">
        <v>79</v>
      </c>
      <c r="D55">
        <v>1</v>
      </c>
      <c r="E55">
        <v>1.1299999999999999</v>
      </c>
      <c r="F55">
        <v>0.85</v>
      </c>
      <c r="G55">
        <v>8.0000000000000002E-3</v>
      </c>
      <c r="H55">
        <v>2.1</v>
      </c>
      <c r="I55">
        <v>0.19</v>
      </c>
      <c r="J55">
        <v>8.0000000000000002E-3</v>
      </c>
      <c r="K55" t="s">
        <v>412</v>
      </c>
    </row>
    <row r="56" spans="1:11" hidden="1" x14ac:dyDescent="0.25">
      <c r="A56" t="s">
        <v>129</v>
      </c>
      <c r="B56" t="s">
        <v>80</v>
      </c>
      <c r="C56" t="s">
        <v>80</v>
      </c>
      <c r="K56" t="s">
        <v>400</v>
      </c>
    </row>
    <row r="57" spans="1:11" x14ac:dyDescent="0.25">
      <c r="A57" t="s">
        <v>130</v>
      </c>
      <c r="B57" t="s">
        <v>79</v>
      </c>
      <c r="C57" t="s">
        <v>80</v>
      </c>
      <c r="D57">
        <v>0.22</v>
      </c>
      <c r="E57">
        <v>0.1</v>
      </c>
      <c r="F57">
        <v>1.06</v>
      </c>
      <c r="G57">
        <v>1.9E-2</v>
      </c>
      <c r="H57">
        <v>0.4</v>
      </c>
      <c r="I57">
        <v>0.2</v>
      </c>
      <c r="J57">
        <v>1.4E-2</v>
      </c>
      <c r="K57" t="s">
        <v>418</v>
      </c>
    </row>
    <row r="58" spans="1:11" hidden="1" x14ac:dyDescent="0.25">
      <c r="A58" t="s">
        <v>131</v>
      </c>
      <c r="B58" t="s">
        <v>80</v>
      </c>
      <c r="C58" t="s">
        <v>80</v>
      </c>
      <c r="K58" t="s">
        <v>400</v>
      </c>
    </row>
    <row r="59" spans="1:11" x14ac:dyDescent="0.25">
      <c r="A59" t="s">
        <v>132</v>
      </c>
      <c r="B59" t="s">
        <v>79</v>
      </c>
      <c r="C59" t="s">
        <v>79</v>
      </c>
      <c r="D59">
        <v>0.22</v>
      </c>
      <c r="E59">
        <v>0.1</v>
      </c>
      <c r="F59">
        <v>1.06</v>
      </c>
      <c r="G59">
        <v>1.9E-2</v>
      </c>
      <c r="H59">
        <v>0.4</v>
      </c>
      <c r="I59">
        <v>0.2</v>
      </c>
      <c r="J59">
        <v>1.4E-2</v>
      </c>
      <c r="K59" t="s">
        <v>404</v>
      </c>
    </row>
    <row r="60" spans="1:11" hidden="1" x14ac:dyDescent="0.25">
      <c r="A60" t="s">
        <v>133</v>
      </c>
      <c r="B60" t="s">
        <v>80</v>
      </c>
      <c r="C60" t="s">
        <v>80</v>
      </c>
      <c r="K60" t="s">
        <v>400</v>
      </c>
    </row>
    <row r="61" spans="1:11" hidden="1" x14ac:dyDescent="0.25">
      <c r="A61" t="s">
        <v>134</v>
      </c>
      <c r="B61" t="s">
        <v>80</v>
      </c>
      <c r="C61" t="s">
        <v>80</v>
      </c>
      <c r="K61" t="s">
        <v>400</v>
      </c>
    </row>
    <row r="62" spans="1:11" x14ac:dyDescent="0.25">
      <c r="A62" t="s">
        <v>135</v>
      </c>
      <c r="B62" t="s">
        <v>79</v>
      </c>
      <c r="C62" t="s">
        <v>79</v>
      </c>
      <c r="D62">
        <v>0.88</v>
      </c>
      <c r="E62">
        <v>1.0900000000000001</v>
      </c>
      <c r="F62">
        <v>0.88</v>
      </c>
      <c r="G62">
        <v>6.0000000000000001E-3</v>
      </c>
      <c r="H62">
        <v>1.3</v>
      </c>
      <c r="I62">
        <v>0.22</v>
      </c>
      <c r="J62">
        <v>8.9999999999999993E-3</v>
      </c>
      <c r="K62" t="s">
        <v>401</v>
      </c>
    </row>
    <row r="63" spans="1:11" hidden="1" x14ac:dyDescent="0.25">
      <c r="A63" t="s">
        <v>136</v>
      </c>
      <c r="B63" t="s">
        <v>80</v>
      </c>
      <c r="C63" t="s">
        <v>80</v>
      </c>
      <c r="K63" t="s">
        <v>400</v>
      </c>
    </row>
    <row r="64" spans="1:11" x14ac:dyDescent="0.25">
      <c r="A64" t="s">
        <v>137</v>
      </c>
      <c r="B64" t="s">
        <v>79</v>
      </c>
      <c r="C64" t="s">
        <v>80</v>
      </c>
      <c r="D64">
        <v>0.88</v>
      </c>
      <c r="E64">
        <v>1.0900000000000001</v>
      </c>
      <c r="F64">
        <v>0.88</v>
      </c>
      <c r="G64">
        <v>6.0000000000000001E-3</v>
      </c>
      <c r="H64">
        <v>1.3</v>
      </c>
      <c r="I64">
        <v>0.22</v>
      </c>
      <c r="J64">
        <v>8.9999999999999993E-3</v>
      </c>
      <c r="K64" t="s">
        <v>401</v>
      </c>
    </row>
    <row r="65" spans="1:11" x14ac:dyDescent="0.25">
      <c r="A65" t="s">
        <v>138</v>
      </c>
      <c r="B65" t="s">
        <v>79</v>
      </c>
      <c r="C65" t="s">
        <v>79</v>
      </c>
      <c r="D65">
        <v>0.88</v>
      </c>
      <c r="E65">
        <v>1.0900000000000001</v>
      </c>
      <c r="F65">
        <v>0.88</v>
      </c>
      <c r="G65">
        <v>6.0000000000000001E-3</v>
      </c>
      <c r="H65">
        <v>1.3</v>
      </c>
      <c r="I65">
        <v>0.22</v>
      </c>
      <c r="J65">
        <v>8.9999999999999993E-3</v>
      </c>
      <c r="K65" t="s">
        <v>401</v>
      </c>
    </row>
    <row r="66" spans="1:11" x14ac:dyDescent="0.25">
      <c r="A66" t="s">
        <v>139</v>
      </c>
      <c r="B66" t="s">
        <v>79</v>
      </c>
      <c r="C66" t="s">
        <v>80</v>
      </c>
      <c r="D66">
        <v>0.88</v>
      </c>
      <c r="E66">
        <v>1.0900000000000001</v>
      </c>
      <c r="F66">
        <v>0.88</v>
      </c>
      <c r="G66">
        <v>6.0000000000000001E-3</v>
      </c>
      <c r="H66">
        <v>1.3</v>
      </c>
      <c r="I66">
        <v>0.22</v>
      </c>
      <c r="J66">
        <v>8.9999999999999993E-3</v>
      </c>
      <c r="K66" t="s">
        <v>401</v>
      </c>
    </row>
    <row r="67" spans="1:11" x14ac:dyDescent="0.25">
      <c r="A67" t="s">
        <v>140</v>
      </c>
      <c r="B67" t="s">
        <v>79</v>
      </c>
      <c r="C67" t="s">
        <v>80</v>
      </c>
      <c r="D67">
        <v>0.88</v>
      </c>
      <c r="E67">
        <v>1.0900000000000001</v>
      </c>
      <c r="F67">
        <v>0.88</v>
      </c>
      <c r="G67">
        <v>6.0000000000000001E-3</v>
      </c>
      <c r="H67">
        <v>1.3</v>
      </c>
      <c r="I67">
        <v>0.22</v>
      </c>
      <c r="J67">
        <v>8.9999999999999993E-3</v>
      </c>
      <c r="K67" t="s">
        <v>401</v>
      </c>
    </row>
    <row r="68" spans="1:11" x14ac:dyDescent="0.25">
      <c r="A68" t="s">
        <v>141</v>
      </c>
      <c r="B68" t="s">
        <v>79</v>
      </c>
      <c r="C68" t="s">
        <v>79</v>
      </c>
      <c r="D68">
        <v>0.91</v>
      </c>
      <c r="E68">
        <v>0.93</v>
      </c>
      <c r="F68">
        <v>1.35</v>
      </c>
      <c r="G68">
        <v>8.0000000000000002E-3</v>
      </c>
      <c r="H68">
        <v>2.1</v>
      </c>
      <c r="I68">
        <v>0.19</v>
      </c>
      <c r="J68">
        <v>8.0000000000000002E-3</v>
      </c>
      <c r="K68" t="s">
        <v>409</v>
      </c>
    </row>
    <row r="69" spans="1:11" hidden="1" x14ac:dyDescent="0.25">
      <c r="A69" t="s">
        <v>142</v>
      </c>
      <c r="B69" t="s">
        <v>80</v>
      </c>
      <c r="C69" t="s">
        <v>80</v>
      </c>
      <c r="H69">
        <v>2.1</v>
      </c>
      <c r="I69">
        <v>0.19</v>
      </c>
      <c r="J69">
        <v>8.0000000000000002E-3</v>
      </c>
      <c r="K69" t="s">
        <v>400</v>
      </c>
    </row>
    <row r="70" spans="1:11" x14ac:dyDescent="0.25">
      <c r="A70" t="s">
        <v>47</v>
      </c>
      <c r="B70" t="s">
        <v>79</v>
      </c>
      <c r="C70" t="s">
        <v>79</v>
      </c>
      <c r="D70">
        <v>1</v>
      </c>
      <c r="E70">
        <v>1.1299999999999999</v>
      </c>
      <c r="F70">
        <v>0.85</v>
      </c>
      <c r="G70">
        <v>8.0000000000000002E-3</v>
      </c>
      <c r="H70">
        <v>2.1</v>
      </c>
      <c r="I70">
        <v>0.19</v>
      </c>
      <c r="J70">
        <v>8.0000000000000002E-3</v>
      </c>
      <c r="K70" t="s">
        <v>419</v>
      </c>
    </row>
    <row r="71" spans="1:11" x14ac:dyDescent="0.25">
      <c r="A71" t="s">
        <v>143</v>
      </c>
      <c r="B71" t="s">
        <v>79</v>
      </c>
      <c r="C71" t="s">
        <v>80</v>
      </c>
      <c r="D71">
        <v>0.22</v>
      </c>
      <c r="E71">
        <v>0.1</v>
      </c>
      <c r="F71">
        <v>1.06</v>
      </c>
      <c r="G71">
        <v>1.9E-2</v>
      </c>
      <c r="H71">
        <v>0.4</v>
      </c>
      <c r="I71">
        <v>0.2</v>
      </c>
      <c r="J71">
        <v>1.4E-2</v>
      </c>
      <c r="K71" t="s">
        <v>403</v>
      </c>
    </row>
    <row r="72" spans="1:11" hidden="1" x14ac:dyDescent="0.25">
      <c r="A72" t="s">
        <v>144</v>
      </c>
      <c r="B72" t="s">
        <v>80</v>
      </c>
      <c r="C72" t="s">
        <v>80</v>
      </c>
      <c r="K72" t="s">
        <v>400</v>
      </c>
    </row>
    <row r="73" spans="1:11" x14ac:dyDescent="0.25">
      <c r="A73" t="s">
        <v>145</v>
      </c>
      <c r="B73" t="s">
        <v>79</v>
      </c>
      <c r="C73" t="s">
        <v>79</v>
      </c>
      <c r="D73">
        <v>0.22</v>
      </c>
      <c r="E73">
        <v>0.1</v>
      </c>
      <c r="F73">
        <v>1.06</v>
      </c>
      <c r="G73">
        <v>1.9E-2</v>
      </c>
      <c r="H73">
        <v>0.4</v>
      </c>
      <c r="I73">
        <v>0.2</v>
      </c>
      <c r="J73">
        <v>1.4E-2</v>
      </c>
      <c r="K73" t="s">
        <v>404</v>
      </c>
    </row>
    <row r="74" spans="1:11" x14ac:dyDescent="0.25">
      <c r="A74" t="s">
        <v>146</v>
      </c>
      <c r="B74" t="s">
        <v>79</v>
      </c>
      <c r="C74" t="s">
        <v>80</v>
      </c>
      <c r="D74">
        <v>0.22</v>
      </c>
      <c r="E74">
        <v>0.1</v>
      </c>
      <c r="F74">
        <v>1.06</v>
      </c>
      <c r="G74">
        <v>1.9E-2</v>
      </c>
      <c r="H74">
        <v>0.4</v>
      </c>
      <c r="I74">
        <v>0.2</v>
      </c>
      <c r="J74">
        <v>1.4E-2</v>
      </c>
      <c r="K74" t="s">
        <v>403</v>
      </c>
    </row>
    <row r="75" spans="1:11" x14ac:dyDescent="0.25">
      <c r="A75" t="s">
        <v>147</v>
      </c>
      <c r="B75" t="s">
        <v>79</v>
      </c>
      <c r="C75" t="s">
        <v>80</v>
      </c>
      <c r="D75">
        <v>0.22</v>
      </c>
      <c r="E75">
        <v>0.1</v>
      </c>
      <c r="F75">
        <v>1.06</v>
      </c>
      <c r="G75">
        <v>1.9E-2</v>
      </c>
      <c r="H75">
        <v>0.4</v>
      </c>
      <c r="I75">
        <v>0.2</v>
      </c>
      <c r="J75">
        <v>1.4E-2</v>
      </c>
      <c r="K75" t="s">
        <v>403</v>
      </c>
    </row>
    <row r="76" spans="1:11" hidden="1" x14ac:dyDescent="0.25">
      <c r="A76" t="s">
        <v>148</v>
      </c>
      <c r="B76" t="s">
        <v>80</v>
      </c>
      <c r="C76" t="s">
        <v>80</v>
      </c>
      <c r="K76" t="s">
        <v>400</v>
      </c>
    </row>
    <row r="77" spans="1:11" hidden="1" x14ac:dyDescent="0.25">
      <c r="A77" t="s">
        <v>149</v>
      </c>
      <c r="B77" t="s">
        <v>80</v>
      </c>
      <c r="C77" t="s">
        <v>80</v>
      </c>
      <c r="K77" t="s">
        <v>400</v>
      </c>
    </row>
    <row r="78" spans="1:11" hidden="1" x14ac:dyDescent="0.25">
      <c r="A78" t="s">
        <v>150</v>
      </c>
      <c r="B78" t="s">
        <v>80</v>
      </c>
      <c r="C78" t="s">
        <v>80</v>
      </c>
      <c r="K78" t="s">
        <v>400</v>
      </c>
    </row>
    <row r="79" spans="1:11" hidden="1" x14ac:dyDescent="0.25">
      <c r="A79" t="s">
        <v>151</v>
      </c>
      <c r="B79" t="s">
        <v>80</v>
      </c>
      <c r="C79" t="s">
        <v>80</v>
      </c>
      <c r="K79" t="s">
        <v>400</v>
      </c>
    </row>
    <row r="80" spans="1:11" hidden="1" x14ac:dyDescent="0.25">
      <c r="A80" t="s">
        <v>152</v>
      </c>
      <c r="B80" t="s">
        <v>80</v>
      </c>
      <c r="C80" t="s">
        <v>80</v>
      </c>
      <c r="K80" t="s">
        <v>400</v>
      </c>
    </row>
    <row r="81" spans="1:11" hidden="1" x14ac:dyDescent="0.25">
      <c r="A81" t="s">
        <v>153</v>
      </c>
      <c r="B81" t="s">
        <v>80</v>
      </c>
      <c r="C81" t="s">
        <v>80</v>
      </c>
      <c r="K81" t="s">
        <v>400</v>
      </c>
    </row>
    <row r="82" spans="1:11" hidden="1" x14ac:dyDescent="0.25">
      <c r="A82" t="s">
        <v>154</v>
      </c>
      <c r="B82" t="s">
        <v>80</v>
      </c>
      <c r="C82" t="s">
        <v>80</v>
      </c>
      <c r="K82" t="s">
        <v>400</v>
      </c>
    </row>
    <row r="83" spans="1:11" hidden="1" x14ac:dyDescent="0.25">
      <c r="A83" t="s">
        <v>155</v>
      </c>
      <c r="B83" t="s">
        <v>80</v>
      </c>
      <c r="C83" t="s">
        <v>80</v>
      </c>
      <c r="K83" t="s">
        <v>400</v>
      </c>
    </row>
    <row r="84" spans="1:11" hidden="1" x14ac:dyDescent="0.25">
      <c r="A84" t="s">
        <v>156</v>
      </c>
      <c r="B84" t="s">
        <v>80</v>
      </c>
      <c r="C84" t="s">
        <v>80</v>
      </c>
      <c r="K84" t="s">
        <v>400</v>
      </c>
    </row>
    <row r="85" spans="1:11" x14ac:dyDescent="0.25">
      <c r="A85" t="s">
        <v>157</v>
      </c>
      <c r="B85" t="s">
        <v>79</v>
      </c>
      <c r="C85" t="s">
        <v>80</v>
      </c>
      <c r="D85">
        <v>0.22</v>
      </c>
      <c r="E85">
        <v>0.1</v>
      </c>
      <c r="F85">
        <v>1.06</v>
      </c>
      <c r="G85">
        <v>1.9E-2</v>
      </c>
      <c r="H85">
        <v>0.4</v>
      </c>
      <c r="I85">
        <v>0.2</v>
      </c>
      <c r="J85">
        <v>1.4E-2</v>
      </c>
      <c r="K85" t="s">
        <v>404</v>
      </c>
    </row>
    <row r="86" spans="1:11" hidden="1" x14ac:dyDescent="0.25">
      <c r="A86" t="s">
        <v>158</v>
      </c>
      <c r="B86" t="s">
        <v>80</v>
      </c>
      <c r="C86" t="s">
        <v>80</v>
      </c>
      <c r="K86" t="s">
        <v>400</v>
      </c>
    </row>
    <row r="87" spans="1:11" hidden="1" x14ac:dyDescent="0.25">
      <c r="A87" t="s">
        <v>159</v>
      </c>
      <c r="B87" t="s">
        <v>80</v>
      </c>
      <c r="C87" t="s">
        <v>80</v>
      </c>
      <c r="K87" t="s">
        <v>400</v>
      </c>
    </row>
    <row r="88" spans="1:11" hidden="1" x14ac:dyDescent="0.25">
      <c r="A88" t="s">
        <v>160</v>
      </c>
      <c r="B88" t="s">
        <v>80</v>
      </c>
      <c r="C88" t="s">
        <v>80</v>
      </c>
      <c r="K88" t="s">
        <v>400</v>
      </c>
    </row>
    <row r="89" spans="1:11" x14ac:dyDescent="0.25">
      <c r="A89" t="s">
        <v>161</v>
      </c>
      <c r="B89" t="s">
        <v>79</v>
      </c>
      <c r="C89" t="s">
        <v>80</v>
      </c>
      <c r="D89">
        <v>0.22</v>
      </c>
      <c r="E89">
        <v>0.1</v>
      </c>
      <c r="F89">
        <v>1.06</v>
      </c>
      <c r="G89">
        <v>1.9E-2</v>
      </c>
      <c r="H89">
        <v>0.4</v>
      </c>
      <c r="I89">
        <v>0.2</v>
      </c>
      <c r="J89">
        <v>1.4E-2</v>
      </c>
      <c r="K89" t="s">
        <v>403</v>
      </c>
    </row>
    <row r="90" spans="1:11" x14ac:dyDescent="0.25">
      <c r="A90" t="s">
        <v>162</v>
      </c>
      <c r="B90" t="s">
        <v>79</v>
      </c>
      <c r="C90" t="s">
        <v>80</v>
      </c>
      <c r="D90">
        <v>0.91</v>
      </c>
      <c r="E90">
        <v>0.93</v>
      </c>
      <c r="F90">
        <v>1.35</v>
      </c>
      <c r="G90">
        <v>8.0000000000000002E-3</v>
      </c>
      <c r="H90">
        <v>1.3</v>
      </c>
      <c r="I90">
        <v>0.22</v>
      </c>
      <c r="J90">
        <v>8.9999999999999993E-3</v>
      </c>
      <c r="K90" t="s">
        <v>409</v>
      </c>
    </row>
    <row r="91" spans="1:11" x14ac:dyDescent="0.25">
      <c r="A91" t="s">
        <v>49</v>
      </c>
      <c r="B91" t="s">
        <v>79</v>
      </c>
      <c r="C91" t="s">
        <v>80</v>
      </c>
      <c r="D91">
        <v>0.88</v>
      </c>
      <c r="E91">
        <v>1.0900000000000001</v>
      </c>
      <c r="F91">
        <v>0.88</v>
      </c>
      <c r="G91">
        <v>6.0000000000000001E-3</v>
      </c>
      <c r="H91">
        <v>1.3</v>
      </c>
      <c r="I91">
        <v>0.22</v>
      </c>
      <c r="J91">
        <v>8.9999999999999993E-3</v>
      </c>
      <c r="K91" t="s">
        <v>420</v>
      </c>
    </row>
    <row r="92" spans="1:11" hidden="1" x14ac:dyDescent="0.25">
      <c r="A92" t="s">
        <v>163</v>
      </c>
      <c r="B92" t="s">
        <v>80</v>
      </c>
      <c r="C92" t="s">
        <v>80</v>
      </c>
      <c r="K92" t="s">
        <v>400</v>
      </c>
    </row>
    <row r="93" spans="1:11" hidden="1" x14ac:dyDescent="0.25">
      <c r="A93" t="s">
        <v>164</v>
      </c>
      <c r="B93" t="s">
        <v>80</v>
      </c>
      <c r="C93" t="s">
        <v>80</v>
      </c>
      <c r="K93" t="s">
        <v>400</v>
      </c>
    </row>
    <row r="94" spans="1:11" hidden="1" x14ac:dyDescent="0.25">
      <c r="A94" t="s">
        <v>165</v>
      </c>
      <c r="B94" t="s">
        <v>80</v>
      </c>
      <c r="C94" t="s">
        <v>80</v>
      </c>
      <c r="K94" t="s">
        <v>400</v>
      </c>
    </row>
    <row r="95" spans="1:11" hidden="1" x14ac:dyDescent="0.25">
      <c r="A95" t="s">
        <v>166</v>
      </c>
      <c r="B95" t="s">
        <v>80</v>
      </c>
      <c r="C95" t="s">
        <v>80</v>
      </c>
      <c r="K95" t="s">
        <v>400</v>
      </c>
    </row>
    <row r="96" spans="1:11" x14ac:dyDescent="0.25">
      <c r="A96" t="s">
        <v>167</v>
      </c>
      <c r="B96" t="s">
        <v>79</v>
      </c>
      <c r="C96" t="s">
        <v>80</v>
      </c>
      <c r="D96">
        <v>0.88</v>
      </c>
      <c r="E96">
        <v>1.0900000000000001</v>
      </c>
      <c r="F96">
        <v>0.88</v>
      </c>
      <c r="G96">
        <v>6.0000000000000001E-3</v>
      </c>
      <c r="H96">
        <v>1.3</v>
      </c>
      <c r="I96">
        <v>0.22</v>
      </c>
      <c r="J96">
        <v>8.9999999999999993E-3</v>
      </c>
      <c r="K96" t="s">
        <v>401</v>
      </c>
    </row>
    <row r="97" spans="1:11" hidden="1" x14ac:dyDescent="0.25">
      <c r="A97" t="s">
        <v>168</v>
      </c>
      <c r="B97" t="s">
        <v>80</v>
      </c>
      <c r="C97" t="s">
        <v>80</v>
      </c>
      <c r="K97" t="s">
        <v>400</v>
      </c>
    </row>
    <row r="98" spans="1:11" hidden="1" x14ac:dyDescent="0.25">
      <c r="A98" t="s">
        <v>169</v>
      </c>
      <c r="B98" t="s">
        <v>80</v>
      </c>
      <c r="C98" t="s">
        <v>80</v>
      </c>
      <c r="K98" t="s">
        <v>400</v>
      </c>
    </row>
    <row r="99" spans="1:11" x14ac:dyDescent="0.25">
      <c r="A99" t="s">
        <v>170</v>
      </c>
      <c r="B99" t="s">
        <v>79</v>
      </c>
      <c r="C99" t="s">
        <v>80</v>
      </c>
      <c r="D99">
        <v>0.22</v>
      </c>
      <c r="E99">
        <v>0.1</v>
      </c>
      <c r="F99">
        <v>1.06</v>
      </c>
      <c r="G99">
        <v>1.9E-2</v>
      </c>
      <c r="H99">
        <v>0.4</v>
      </c>
      <c r="I99">
        <v>0.2</v>
      </c>
      <c r="J99">
        <v>1.4E-2</v>
      </c>
      <c r="K99" t="s">
        <v>403</v>
      </c>
    </row>
    <row r="100" spans="1:11" x14ac:dyDescent="0.25">
      <c r="A100" t="s">
        <v>171</v>
      </c>
      <c r="B100" t="s">
        <v>79</v>
      </c>
      <c r="C100" t="s">
        <v>80</v>
      </c>
      <c r="D100">
        <v>0.22</v>
      </c>
      <c r="E100">
        <v>0.1</v>
      </c>
      <c r="F100">
        <v>1.06</v>
      </c>
      <c r="G100">
        <v>1.9E-2</v>
      </c>
      <c r="H100">
        <v>0.4</v>
      </c>
      <c r="I100">
        <v>0.2</v>
      </c>
      <c r="J100">
        <v>1.4E-2</v>
      </c>
      <c r="K100" t="s">
        <v>403</v>
      </c>
    </row>
    <row r="101" spans="1:11" hidden="1" x14ac:dyDescent="0.25">
      <c r="A101" t="s">
        <v>172</v>
      </c>
      <c r="B101" t="s">
        <v>80</v>
      </c>
      <c r="C101" t="s">
        <v>80</v>
      </c>
      <c r="K101" t="s">
        <v>400</v>
      </c>
    </row>
    <row r="102" spans="1:11" x14ac:dyDescent="0.25">
      <c r="A102" t="s">
        <v>173</v>
      </c>
      <c r="B102" t="s">
        <v>79</v>
      </c>
      <c r="C102" t="s">
        <v>80</v>
      </c>
      <c r="D102">
        <v>0.22</v>
      </c>
      <c r="E102">
        <v>0.1</v>
      </c>
      <c r="F102">
        <v>1.06</v>
      </c>
      <c r="G102">
        <v>1.9E-2</v>
      </c>
      <c r="H102">
        <v>0.4</v>
      </c>
      <c r="I102">
        <v>0.2</v>
      </c>
      <c r="J102">
        <v>1.4E-2</v>
      </c>
      <c r="K102" t="s">
        <v>404</v>
      </c>
    </row>
    <row r="103" spans="1:11" hidden="1" x14ac:dyDescent="0.25">
      <c r="A103" t="s">
        <v>174</v>
      </c>
      <c r="B103" t="s">
        <v>80</v>
      </c>
      <c r="C103" t="s">
        <v>80</v>
      </c>
      <c r="K103" t="s">
        <v>400</v>
      </c>
    </row>
    <row r="104" spans="1:11" hidden="1" x14ac:dyDescent="0.25">
      <c r="A104" t="s">
        <v>175</v>
      </c>
      <c r="B104" t="s">
        <v>80</v>
      </c>
      <c r="C104" t="s">
        <v>80</v>
      </c>
      <c r="K104" t="s">
        <v>400</v>
      </c>
    </row>
    <row r="105" spans="1:11" x14ac:dyDescent="0.25">
      <c r="A105" t="s">
        <v>176</v>
      </c>
      <c r="B105" t="s">
        <v>79</v>
      </c>
      <c r="C105" t="s">
        <v>79</v>
      </c>
      <c r="D105">
        <v>0.88</v>
      </c>
      <c r="E105">
        <v>1.0900000000000001</v>
      </c>
      <c r="F105">
        <v>0.88</v>
      </c>
      <c r="G105">
        <v>6.0000000000000001E-3</v>
      </c>
      <c r="H105">
        <v>1.3</v>
      </c>
      <c r="I105">
        <v>0.22</v>
      </c>
      <c r="J105">
        <v>8.9999999999999993E-3</v>
      </c>
      <c r="K105" t="s">
        <v>401</v>
      </c>
    </row>
    <row r="106" spans="1:11" x14ac:dyDescent="0.25">
      <c r="A106" t="s">
        <v>177</v>
      </c>
      <c r="B106" t="s">
        <v>79</v>
      </c>
      <c r="C106" t="s">
        <v>79</v>
      </c>
      <c r="D106">
        <v>0.88</v>
      </c>
      <c r="E106">
        <v>1.0900000000000001</v>
      </c>
      <c r="F106">
        <v>0.88</v>
      </c>
      <c r="G106">
        <v>6.0000000000000001E-3</v>
      </c>
      <c r="H106">
        <v>1.3</v>
      </c>
      <c r="I106">
        <v>0.22</v>
      </c>
      <c r="J106">
        <v>8.9999999999999993E-3</v>
      </c>
      <c r="K106" t="s">
        <v>402</v>
      </c>
    </row>
    <row r="107" spans="1:11" x14ac:dyDescent="0.25">
      <c r="A107" t="s">
        <v>178</v>
      </c>
      <c r="B107" t="s">
        <v>79</v>
      </c>
      <c r="C107" t="s">
        <v>80</v>
      </c>
      <c r="D107">
        <v>0.91</v>
      </c>
      <c r="E107">
        <v>0.93</v>
      </c>
      <c r="F107">
        <v>1.35</v>
      </c>
      <c r="G107">
        <v>8.0000000000000002E-3</v>
      </c>
      <c r="H107">
        <v>2.1</v>
      </c>
      <c r="I107">
        <v>0.19</v>
      </c>
      <c r="J107">
        <v>8.0000000000000002E-3</v>
      </c>
      <c r="K107" t="s">
        <v>409</v>
      </c>
    </row>
    <row r="108" spans="1:11" hidden="1" x14ac:dyDescent="0.25">
      <c r="A108" t="s">
        <v>179</v>
      </c>
      <c r="B108" t="s">
        <v>80</v>
      </c>
      <c r="C108" t="s">
        <v>80</v>
      </c>
      <c r="K108" t="s">
        <v>400</v>
      </c>
    </row>
    <row r="109" spans="1:11" hidden="1" x14ac:dyDescent="0.25">
      <c r="A109" t="s">
        <v>180</v>
      </c>
      <c r="B109" t="s">
        <v>80</v>
      </c>
      <c r="C109" t="s">
        <v>80</v>
      </c>
      <c r="K109" t="s">
        <v>400</v>
      </c>
    </row>
    <row r="110" spans="1:11" hidden="1" x14ac:dyDescent="0.25">
      <c r="A110" t="s">
        <v>181</v>
      </c>
      <c r="B110" t="s">
        <v>80</v>
      </c>
      <c r="C110" t="s">
        <v>80</v>
      </c>
      <c r="K110" t="s">
        <v>400</v>
      </c>
    </row>
    <row r="111" spans="1:11" hidden="1" x14ac:dyDescent="0.25">
      <c r="A111" t="s">
        <v>182</v>
      </c>
      <c r="B111" t="s">
        <v>80</v>
      </c>
      <c r="C111" t="s">
        <v>80</v>
      </c>
      <c r="K111" t="s">
        <v>400</v>
      </c>
    </row>
    <row r="112" spans="1:11" x14ac:dyDescent="0.25">
      <c r="A112" t="s">
        <v>183</v>
      </c>
      <c r="B112" t="s">
        <v>79</v>
      </c>
      <c r="C112" t="s">
        <v>80</v>
      </c>
      <c r="D112">
        <v>0.91</v>
      </c>
      <c r="E112">
        <v>0.93</v>
      </c>
      <c r="F112">
        <v>1.35</v>
      </c>
      <c r="G112">
        <v>8.0000000000000002E-3</v>
      </c>
      <c r="H112">
        <v>2.1</v>
      </c>
      <c r="I112">
        <v>0.19</v>
      </c>
      <c r="J112">
        <v>8.0000000000000002E-3</v>
      </c>
      <c r="K112" t="s">
        <v>409</v>
      </c>
    </row>
    <row r="113" spans="1:11" x14ac:dyDescent="0.25">
      <c r="A113" t="s">
        <v>184</v>
      </c>
      <c r="B113" t="s">
        <v>79</v>
      </c>
      <c r="C113" t="s">
        <v>80</v>
      </c>
      <c r="D113">
        <v>0.88</v>
      </c>
      <c r="E113">
        <v>1.0900000000000001</v>
      </c>
      <c r="F113">
        <v>0.88</v>
      </c>
      <c r="G113">
        <v>6.0000000000000001E-3</v>
      </c>
      <c r="H113">
        <v>1.3</v>
      </c>
      <c r="I113">
        <v>0.22</v>
      </c>
      <c r="J113">
        <v>8.9999999999999993E-3</v>
      </c>
      <c r="K113" t="s">
        <v>401</v>
      </c>
    </row>
    <row r="114" spans="1:11" hidden="1" x14ac:dyDescent="0.25">
      <c r="A114" t="s">
        <v>185</v>
      </c>
      <c r="B114" t="s">
        <v>80</v>
      </c>
      <c r="C114" t="s">
        <v>80</v>
      </c>
      <c r="K114" t="s">
        <v>400</v>
      </c>
    </row>
    <row r="115" spans="1:11" x14ac:dyDescent="0.25">
      <c r="A115" t="s">
        <v>186</v>
      </c>
      <c r="B115" t="s">
        <v>79</v>
      </c>
      <c r="C115" t="s">
        <v>80</v>
      </c>
      <c r="D115">
        <v>0.88</v>
      </c>
      <c r="E115">
        <v>1.0900000000000001</v>
      </c>
      <c r="F115">
        <v>0.88</v>
      </c>
      <c r="G115">
        <v>6.0000000000000001E-3</v>
      </c>
      <c r="H115">
        <v>1.3</v>
      </c>
      <c r="I115">
        <v>0.22</v>
      </c>
      <c r="J115">
        <v>8.9999999999999993E-3</v>
      </c>
      <c r="K115" t="s">
        <v>401</v>
      </c>
    </row>
    <row r="116" spans="1:11" hidden="1" x14ac:dyDescent="0.25">
      <c r="A116" t="s">
        <v>187</v>
      </c>
      <c r="B116" t="s">
        <v>80</v>
      </c>
      <c r="C116" t="s">
        <v>80</v>
      </c>
      <c r="K116" t="s">
        <v>400</v>
      </c>
    </row>
    <row r="117" spans="1:11" x14ac:dyDescent="0.25">
      <c r="A117" t="s">
        <v>188</v>
      </c>
      <c r="B117" t="s">
        <v>79</v>
      </c>
      <c r="C117" t="s">
        <v>80</v>
      </c>
      <c r="D117">
        <v>0.88</v>
      </c>
      <c r="E117">
        <v>1.0900000000000001</v>
      </c>
      <c r="F117">
        <v>0.88</v>
      </c>
      <c r="G117">
        <v>6.0000000000000001E-3</v>
      </c>
      <c r="H117">
        <v>1.3</v>
      </c>
      <c r="I117">
        <v>0.22</v>
      </c>
      <c r="J117">
        <v>8.9999999999999993E-3</v>
      </c>
      <c r="K117" t="s">
        <v>402</v>
      </c>
    </row>
    <row r="118" spans="1:11" hidden="1" x14ac:dyDescent="0.25">
      <c r="A118" t="s">
        <v>189</v>
      </c>
      <c r="B118" t="s">
        <v>80</v>
      </c>
      <c r="C118" t="s">
        <v>80</v>
      </c>
      <c r="K118" t="s">
        <v>400</v>
      </c>
    </row>
    <row r="119" spans="1:11" x14ac:dyDescent="0.25">
      <c r="A119" t="s">
        <v>190</v>
      </c>
      <c r="B119" t="s">
        <v>79</v>
      </c>
      <c r="C119" t="s">
        <v>80</v>
      </c>
      <c r="D119">
        <v>0.22</v>
      </c>
      <c r="E119">
        <v>0.1</v>
      </c>
      <c r="F119">
        <v>1.06</v>
      </c>
      <c r="G119">
        <v>1.9E-2</v>
      </c>
      <c r="H119">
        <v>0.4</v>
      </c>
      <c r="I119">
        <v>0.2</v>
      </c>
      <c r="J119">
        <v>1.4E-2</v>
      </c>
      <c r="K119" t="s">
        <v>403</v>
      </c>
    </row>
    <row r="120" spans="1:11" x14ac:dyDescent="0.25">
      <c r="A120" t="s">
        <v>191</v>
      </c>
      <c r="B120" t="s">
        <v>79</v>
      </c>
      <c r="C120" t="s">
        <v>80</v>
      </c>
      <c r="D120">
        <v>0.88</v>
      </c>
      <c r="E120">
        <v>1.0900000000000001</v>
      </c>
      <c r="F120">
        <v>0.88</v>
      </c>
      <c r="G120">
        <v>6.0000000000000001E-3</v>
      </c>
      <c r="H120">
        <v>1.3</v>
      </c>
      <c r="I120">
        <v>0.22</v>
      </c>
      <c r="J120">
        <v>8.9999999999999993E-3</v>
      </c>
      <c r="K120" t="s">
        <v>402</v>
      </c>
    </row>
    <row r="121" spans="1:11" x14ac:dyDescent="0.25">
      <c r="A121" t="s">
        <v>192</v>
      </c>
      <c r="B121" t="s">
        <v>79</v>
      </c>
      <c r="C121" t="s">
        <v>79</v>
      </c>
      <c r="D121">
        <v>0.22</v>
      </c>
      <c r="E121">
        <v>0.1</v>
      </c>
      <c r="F121">
        <v>1.06</v>
      </c>
      <c r="G121">
        <v>1.9E-2</v>
      </c>
      <c r="H121">
        <v>0.4</v>
      </c>
      <c r="I121">
        <v>0.2</v>
      </c>
      <c r="J121">
        <v>1.4E-2</v>
      </c>
      <c r="K121" t="s">
        <v>404</v>
      </c>
    </row>
    <row r="122" spans="1:11" x14ac:dyDescent="0.25">
      <c r="A122" t="s">
        <v>193</v>
      </c>
      <c r="B122" t="s">
        <v>79</v>
      </c>
      <c r="C122" t="s">
        <v>79</v>
      </c>
      <c r="D122">
        <v>0.22</v>
      </c>
      <c r="E122">
        <v>0.1</v>
      </c>
      <c r="F122">
        <v>1.06</v>
      </c>
      <c r="G122">
        <v>1.9E-2</v>
      </c>
      <c r="H122">
        <v>0.4</v>
      </c>
      <c r="I122">
        <v>0.2</v>
      </c>
      <c r="J122">
        <v>1.4E-2</v>
      </c>
      <c r="K122" t="s">
        <v>403</v>
      </c>
    </row>
    <row r="123" spans="1:11" x14ac:dyDescent="0.25">
      <c r="A123" t="s">
        <v>194</v>
      </c>
      <c r="B123" t="s">
        <v>79</v>
      </c>
      <c r="C123" t="s">
        <v>79</v>
      </c>
      <c r="D123">
        <v>1</v>
      </c>
      <c r="E123">
        <v>1.1299999999999999</v>
      </c>
      <c r="F123">
        <v>0.85</v>
      </c>
      <c r="G123">
        <v>8.0000000000000002E-3</v>
      </c>
      <c r="H123">
        <v>2.1</v>
      </c>
      <c r="I123">
        <v>0.19</v>
      </c>
      <c r="J123">
        <v>8.0000000000000002E-3</v>
      </c>
      <c r="K123" t="s">
        <v>412</v>
      </c>
    </row>
    <row r="124" spans="1:11" x14ac:dyDescent="0.25">
      <c r="A124" t="s">
        <v>195</v>
      </c>
      <c r="B124" t="s">
        <v>79</v>
      </c>
      <c r="C124" t="s">
        <v>79</v>
      </c>
      <c r="D124">
        <v>0.22</v>
      </c>
      <c r="E124">
        <v>0.1</v>
      </c>
      <c r="F124">
        <v>1.06</v>
      </c>
      <c r="G124">
        <v>1.9E-2</v>
      </c>
      <c r="H124">
        <v>0.4</v>
      </c>
      <c r="I124">
        <v>0.2</v>
      </c>
      <c r="J124">
        <v>1.4E-2</v>
      </c>
      <c r="K124" t="s">
        <v>404</v>
      </c>
    </row>
    <row r="125" spans="1:11" x14ac:dyDescent="0.25">
      <c r="A125" t="s">
        <v>196</v>
      </c>
      <c r="B125" t="s">
        <v>79</v>
      </c>
      <c r="C125" t="s">
        <v>79</v>
      </c>
      <c r="D125">
        <v>0.91</v>
      </c>
      <c r="E125">
        <v>0.93</v>
      </c>
      <c r="F125">
        <v>1.35</v>
      </c>
      <c r="G125">
        <v>8.0000000000000002E-3</v>
      </c>
      <c r="H125">
        <v>2.1</v>
      </c>
      <c r="I125">
        <v>0.19</v>
      </c>
      <c r="J125">
        <v>8.0000000000000002E-3</v>
      </c>
      <c r="K125" t="s">
        <v>409</v>
      </c>
    </row>
    <row r="126" spans="1:11" x14ac:dyDescent="0.25">
      <c r="A126" t="s">
        <v>197</v>
      </c>
      <c r="B126" t="s">
        <v>79</v>
      </c>
      <c r="C126" t="s">
        <v>79</v>
      </c>
      <c r="D126">
        <v>0.88</v>
      </c>
      <c r="E126">
        <v>1.0900000000000001</v>
      </c>
      <c r="F126">
        <v>0.88</v>
      </c>
      <c r="G126">
        <v>6.0000000000000001E-3</v>
      </c>
      <c r="H126">
        <v>1.3</v>
      </c>
      <c r="I126">
        <v>0.22</v>
      </c>
      <c r="J126">
        <v>8.9999999999999993E-3</v>
      </c>
      <c r="K126" t="s">
        <v>401</v>
      </c>
    </row>
    <row r="127" spans="1:11" x14ac:dyDescent="0.25">
      <c r="A127" t="s">
        <v>198</v>
      </c>
      <c r="B127" t="s">
        <v>79</v>
      </c>
      <c r="C127" t="s">
        <v>79</v>
      </c>
      <c r="D127">
        <v>0.88</v>
      </c>
      <c r="E127">
        <v>1.0900000000000001</v>
      </c>
      <c r="F127">
        <v>0.88</v>
      </c>
      <c r="G127">
        <v>6.0000000000000001E-3</v>
      </c>
      <c r="H127">
        <v>1.3</v>
      </c>
      <c r="I127">
        <v>0.22</v>
      </c>
      <c r="J127">
        <v>8.9999999999999993E-3</v>
      </c>
      <c r="K127" t="s">
        <v>401</v>
      </c>
    </row>
    <row r="128" spans="1:11" x14ac:dyDescent="0.25">
      <c r="A128" t="s">
        <v>199</v>
      </c>
      <c r="B128" t="s">
        <v>79</v>
      </c>
      <c r="C128" t="s">
        <v>79</v>
      </c>
      <c r="D128">
        <v>1</v>
      </c>
      <c r="E128">
        <v>1.03</v>
      </c>
      <c r="F128">
        <v>0.61</v>
      </c>
      <c r="G128">
        <v>6.0000000000000001E-3</v>
      </c>
      <c r="H128">
        <v>1</v>
      </c>
      <c r="I128">
        <v>0.22</v>
      </c>
      <c r="J128">
        <v>7.0000000000000001E-3</v>
      </c>
      <c r="K128" t="s">
        <v>406</v>
      </c>
    </row>
    <row r="129" spans="1:11" x14ac:dyDescent="0.25">
      <c r="A129" t="s">
        <v>200</v>
      </c>
      <c r="B129" t="s">
        <v>79</v>
      </c>
      <c r="C129" t="s">
        <v>79</v>
      </c>
      <c r="D129">
        <v>0.22</v>
      </c>
      <c r="E129">
        <v>0.1</v>
      </c>
      <c r="F129">
        <v>1.06</v>
      </c>
      <c r="G129">
        <v>1.9E-2</v>
      </c>
      <c r="H129">
        <v>0.4</v>
      </c>
      <c r="I129">
        <v>0.2</v>
      </c>
      <c r="J129">
        <v>1.4E-2</v>
      </c>
      <c r="K129" t="s">
        <v>403</v>
      </c>
    </row>
    <row r="130" spans="1:11" hidden="1" x14ac:dyDescent="0.25">
      <c r="A130" t="s">
        <v>201</v>
      </c>
      <c r="B130" t="s">
        <v>80</v>
      </c>
      <c r="C130" t="s">
        <v>80</v>
      </c>
      <c r="K130" t="s">
        <v>400</v>
      </c>
    </row>
    <row r="131" spans="1:11" hidden="1" x14ac:dyDescent="0.25">
      <c r="A131" t="s">
        <v>202</v>
      </c>
      <c r="B131" t="s">
        <v>80</v>
      </c>
      <c r="C131" t="s">
        <v>80</v>
      </c>
      <c r="K131" t="s">
        <v>400</v>
      </c>
    </row>
    <row r="132" spans="1:11" hidden="1" x14ac:dyDescent="0.25">
      <c r="A132" t="s">
        <v>203</v>
      </c>
      <c r="B132" t="s">
        <v>80</v>
      </c>
      <c r="C132" t="s">
        <v>80</v>
      </c>
      <c r="K132" t="s">
        <v>400</v>
      </c>
    </row>
    <row r="133" spans="1:11" hidden="1" x14ac:dyDescent="0.25">
      <c r="A133" t="s">
        <v>204</v>
      </c>
      <c r="B133" t="s">
        <v>80</v>
      </c>
      <c r="C133" t="s">
        <v>80</v>
      </c>
      <c r="K133" t="s">
        <v>400</v>
      </c>
    </row>
    <row r="134" spans="1:11" hidden="1" x14ac:dyDescent="0.25">
      <c r="A134" t="s">
        <v>205</v>
      </c>
      <c r="B134" t="s">
        <v>80</v>
      </c>
      <c r="C134" t="s">
        <v>80</v>
      </c>
      <c r="K134" t="s">
        <v>400</v>
      </c>
    </row>
    <row r="135" spans="1:11" hidden="1" x14ac:dyDescent="0.25">
      <c r="A135" t="s">
        <v>206</v>
      </c>
      <c r="B135" t="s">
        <v>80</v>
      </c>
      <c r="C135" t="s">
        <v>80</v>
      </c>
      <c r="K135" t="s">
        <v>400</v>
      </c>
    </row>
    <row r="136" spans="1:11" hidden="1" x14ac:dyDescent="0.25">
      <c r="A136" t="s">
        <v>207</v>
      </c>
      <c r="B136" t="s">
        <v>80</v>
      </c>
      <c r="C136" t="s">
        <v>80</v>
      </c>
      <c r="K136" t="s">
        <v>400</v>
      </c>
    </row>
    <row r="137" spans="1:11" hidden="1" x14ac:dyDescent="0.25">
      <c r="A137" t="s">
        <v>208</v>
      </c>
      <c r="B137" t="s">
        <v>80</v>
      </c>
      <c r="C137" t="s">
        <v>80</v>
      </c>
      <c r="K137" t="s">
        <v>400</v>
      </c>
    </row>
    <row r="138" spans="1:11" hidden="1" x14ac:dyDescent="0.25">
      <c r="A138" t="s">
        <v>209</v>
      </c>
      <c r="B138" t="s">
        <v>80</v>
      </c>
      <c r="C138" t="s">
        <v>80</v>
      </c>
      <c r="K138" t="s">
        <v>400</v>
      </c>
    </row>
    <row r="139" spans="1:11" hidden="1" x14ac:dyDescent="0.25">
      <c r="A139" t="s">
        <v>210</v>
      </c>
      <c r="B139" t="s">
        <v>80</v>
      </c>
      <c r="C139" t="s">
        <v>80</v>
      </c>
      <c r="K139" t="s">
        <v>400</v>
      </c>
    </row>
    <row r="140" spans="1:11" hidden="1" x14ac:dyDescent="0.25">
      <c r="A140" t="s">
        <v>211</v>
      </c>
      <c r="B140" t="s">
        <v>80</v>
      </c>
      <c r="C140" t="s">
        <v>80</v>
      </c>
      <c r="K140" t="s">
        <v>400</v>
      </c>
    </row>
    <row r="141" spans="1:11" hidden="1" x14ac:dyDescent="0.25">
      <c r="A141" t="s">
        <v>212</v>
      </c>
      <c r="B141" t="s">
        <v>80</v>
      </c>
      <c r="C141" t="s">
        <v>80</v>
      </c>
      <c r="K141" t="s">
        <v>400</v>
      </c>
    </row>
    <row r="142" spans="1:11" hidden="1" x14ac:dyDescent="0.25">
      <c r="A142" t="s">
        <v>213</v>
      </c>
      <c r="B142" t="s">
        <v>80</v>
      </c>
      <c r="C142" t="s">
        <v>80</v>
      </c>
      <c r="K142" t="s">
        <v>400</v>
      </c>
    </row>
    <row r="143" spans="1:11" hidden="1" x14ac:dyDescent="0.25">
      <c r="A143" t="s">
        <v>214</v>
      </c>
      <c r="B143" t="s">
        <v>80</v>
      </c>
      <c r="C143" t="s">
        <v>80</v>
      </c>
      <c r="K143" t="s">
        <v>400</v>
      </c>
    </row>
    <row r="144" spans="1:11" hidden="1" x14ac:dyDescent="0.25">
      <c r="A144" t="s">
        <v>215</v>
      </c>
      <c r="B144" t="s">
        <v>80</v>
      </c>
      <c r="C144" t="s">
        <v>80</v>
      </c>
      <c r="K144" t="s">
        <v>400</v>
      </c>
    </row>
    <row r="145" spans="1:11" hidden="1" x14ac:dyDescent="0.25">
      <c r="A145" t="s">
        <v>216</v>
      </c>
      <c r="B145" t="s">
        <v>80</v>
      </c>
      <c r="C145" t="s">
        <v>80</v>
      </c>
      <c r="K145" t="s">
        <v>400</v>
      </c>
    </row>
    <row r="146" spans="1:11" hidden="1" x14ac:dyDescent="0.25">
      <c r="A146" t="s">
        <v>217</v>
      </c>
      <c r="B146" t="s">
        <v>80</v>
      </c>
      <c r="C146" t="s">
        <v>80</v>
      </c>
      <c r="K146" t="s">
        <v>400</v>
      </c>
    </row>
    <row r="147" spans="1:11" hidden="1" x14ac:dyDescent="0.25">
      <c r="A147" t="s">
        <v>218</v>
      </c>
      <c r="B147" t="s">
        <v>80</v>
      </c>
      <c r="C147" t="s">
        <v>80</v>
      </c>
      <c r="K147" t="s">
        <v>400</v>
      </c>
    </row>
    <row r="148" spans="1:11" x14ac:dyDescent="0.25">
      <c r="A148" t="s">
        <v>219</v>
      </c>
      <c r="B148" t="s">
        <v>79</v>
      </c>
      <c r="C148" t="s">
        <v>80</v>
      </c>
      <c r="D148">
        <v>0.88</v>
      </c>
      <c r="E148">
        <v>1.0900000000000001</v>
      </c>
      <c r="F148">
        <v>0.88</v>
      </c>
      <c r="G148">
        <v>6.0000000000000001E-3</v>
      </c>
      <c r="H148">
        <v>1.4</v>
      </c>
      <c r="I148">
        <v>0</v>
      </c>
      <c r="J148">
        <v>0</v>
      </c>
      <c r="K148" t="s">
        <v>401</v>
      </c>
    </row>
    <row r="149" spans="1:11" x14ac:dyDescent="0.25">
      <c r="A149" t="s">
        <v>20</v>
      </c>
      <c r="B149" t="s">
        <v>79</v>
      </c>
      <c r="C149" t="s">
        <v>79</v>
      </c>
      <c r="D149">
        <v>1</v>
      </c>
      <c r="E149">
        <v>1.43</v>
      </c>
      <c r="F149">
        <v>0.14000000000000001</v>
      </c>
      <c r="G149">
        <v>7.0000000000000001E-3</v>
      </c>
      <c r="H149">
        <v>1.4</v>
      </c>
      <c r="I149">
        <v>0</v>
      </c>
      <c r="J149">
        <v>0</v>
      </c>
      <c r="K149" t="s">
        <v>421</v>
      </c>
    </row>
    <row r="150" spans="1:11" x14ac:dyDescent="0.25">
      <c r="A150" t="s">
        <v>220</v>
      </c>
      <c r="B150" t="s">
        <v>79</v>
      </c>
      <c r="C150" t="s">
        <v>79</v>
      </c>
      <c r="D150">
        <v>0.88</v>
      </c>
      <c r="E150">
        <v>1.0900000000000001</v>
      </c>
      <c r="F150">
        <v>0.88</v>
      </c>
      <c r="G150">
        <v>6.0000000000000001E-3</v>
      </c>
      <c r="H150">
        <v>1.3</v>
      </c>
      <c r="I150">
        <v>0.22</v>
      </c>
      <c r="J150">
        <v>8.9999999999999993E-3</v>
      </c>
      <c r="K150" t="s">
        <v>413</v>
      </c>
    </row>
    <row r="151" spans="1:11" hidden="1" x14ac:dyDescent="0.25">
      <c r="A151" t="s">
        <v>221</v>
      </c>
      <c r="B151" t="s">
        <v>80</v>
      </c>
      <c r="C151" t="s">
        <v>80</v>
      </c>
      <c r="K151" t="s">
        <v>400</v>
      </c>
    </row>
    <row r="152" spans="1:11" hidden="1" x14ac:dyDescent="0.25">
      <c r="A152" t="s">
        <v>222</v>
      </c>
      <c r="B152" t="s">
        <v>80</v>
      </c>
      <c r="C152" t="s">
        <v>80</v>
      </c>
      <c r="K152" t="s">
        <v>400</v>
      </c>
    </row>
    <row r="153" spans="1:11" x14ac:dyDescent="0.25">
      <c r="A153" t="s">
        <v>223</v>
      </c>
      <c r="B153" t="s">
        <v>79</v>
      </c>
      <c r="C153" t="s">
        <v>79</v>
      </c>
      <c r="D153">
        <v>0.22</v>
      </c>
      <c r="E153">
        <v>0.1</v>
      </c>
      <c r="F153">
        <v>1.06</v>
      </c>
      <c r="G153">
        <v>1.9E-2</v>
      </c>
      <c r="H153">
        <v>0.4</v>
      </c>
      <c r="I153">
        <v>0.2</v>
      </c>
      <c r="J153">
        <v>1.4E-2</v>
      </c>
      <c r="K153" t="s">
        <v>404</v>
      </c>
    </row>
    <row r="154" spans="1:11" x14ac:dyDescent="0.25">
      <c r="A154" t="s">
        <v>224</v>
      </c>
      <c r="B154" t="s">
        <v>79</v>
      </c>
      <c r="C154" t="s">
        <v>80</v>
      </c>
      <c r="D154">
        <v>0.91</v>
      </c>
      <c r="E154">
        <v>0.93</v>
      </c>
      <c r="F154">
        <v>1.35</v>
      </c>
      <c r="G154">
        <v>8.0000000000000002E-3</v>
      </c>
      <c r="H154">
        <v>2.1</v>
      </c>
      <c r="I154">
        <v>0.19</v>
      </c>
      <c r="J154">
        <v>8.0000000000000002E-3</v>
      </c>
      <c r="K154" t="s">
        <v>409</v>
      </c>
    </row>
    <row r="155" spans="1:11" hidden="1" x14ac:dyDescent="0.25">
      <c r="A155" t="s">
        <v>225</v>
      </c>
      <c r="B155" t="s">
        <v>80</v>
      </c>
      <c r="C155" t="s">
        <v>80</v>
      </c>
      <c r="K155" t="s">
        <v>400</v>
      </c>
    </row>
    <row r="156" spans="1:11" hidden="1" x14ac:dyDescent="0.25">
      <c r="A156" t="s">
        <v>226</v>
      </c>
      <c r="B156" t="s">
        <v>80</v>
      </c>
      <c r="C156" t="s">
        <v>80</v>
      </c>
      <c r="K156" t="s">
        <v>400</v>
      </c>
    </row>
    <row r="157" spans="1:11" x14ac:dyDescent="0.25">
      <c r="A157" t="s">
        <v>227</v>
      </c>
      <c r="B157" t="s">
        <v>79</v>
      </c>
      <c r="C157" t="s">
        <v>79</v>
      </c>
      <c r="D157">
        <v>0.88</v>
      </c>
      <c r="E157">
        <v>1.0900000000000001</v>
      </c>
      <c r="F157">
        <v>0.88</v>
      </c>
      <c r="G157">
        <v>6.0000000000000001E-3</v>
      </c>
      <c r="H157">
        <v>1.3</v>
      </c>
      <c r="I157">
        <v>0.25</v>
      </c>
      <c r="J157">
        <v>8.0000000000000002E-3</v>
      </c>
      <c r="K157" t="s">
        <v>401</v>
      </c>
    </row>
    <row r="158" spans="1:11" x14ac:dyDescent="0.25">
      <c r="A158" t="s">
        <v>19</v>
      </c>
      <c r="B158" t="s">
        <v>79</v>
      </c>
      <c r="C158" t="s">
        <v>80</v>
      </c>
      <c r="D158">
        <v>1</v>
      </c>
      <c r="E158">
        <v>0.91</v>
      </c>
      <c r="F158">
        <v>0.89</v>
      </c>
      <c r="G158">
        <v>7.0000000000000001E-3</v>
      </c>
      <c r="H158">
        <v>1.3</v>
      </c>
      <c r="I158">
        <v>0.25</v>
      </c>
      <c r="J158">
        <v>8.0000000000000002E-3</v>
      </c>
      <c r="K158" t="s">
        <v>422</v>
      </c>
    </row>
    <row r="159" spans="1:11" hidden="1" x14ac:dyDescent="0.25">
      <c r="A159" t="s">
        <v>228</v>
      </c>
      <c r="B159" t="s">
        <v>80</v>
      </c>
      <c r="C159" t="s">
        <v>80</v>
      </c>
      <c r="K159" t="s">
        <v>400</v>
      </c>
    </row>
    <row r="160" spans="1:11" hidden="1" x14ac:dyDescent="0.25">
      <c r="A160" t="s">
        <v>229</v>
      </c>
      <c r="B160" t="s">
        <v>80</v>
      </c>
      <c r="C160" t="s">
        <v>80</v>
      </c>
      <c r="K160" t="s">
        <v>400</v>
      </c>
    </row>
    <row r="161" spans="1:11" hidden="1" x14ac:dyDescent="0.25">
      <c r="A161" t="s">
        <v>230</v>
      </c>
      <c r="B161" t="s">
        <v>80</v>
      </c>
      <c r="C161" t="s">
        <v>80</v>
      </c>
      <c r="K161" t="s">
        <v>400</v>
      </c>
    </row>
    <row r="162" spans="1:11" hidden="1" x14ac:dyDescent="0.25">
      <c r="A162" t="s">
        <v>231</v>
      </c>
      <c r="B162" t="s">
        <v>80</v>
      </c>
      <c r="C162" t="s">
        <v>80</v>
      </c>
      <c r="K162" t="s">
        <v>400</v>
      </c>
    </row>
    <row r="163" spans="1:11" x14ac:dyDescent="0.25">
      <c r="A163" t="s">
        <v>232</v>
      </c>
      <c r="B163" t="s">
        <v>79</v>
      </c>
      <c r="C163" t="s">
        <v>80</v>
      </c>
      <c r="D163">
        <v>0.91</v>
      </c>
      <c r="E163">
        <v>0.93</v>
      </c>
      <c r="F163">
        <v>1.35</v>
      </c>
      <c r="G163">
        <v>8.0000000000000002E-3</v>
      </c>
      <c r="H163">
        <v>2.1</v>
      </c>
      <c r="I163">
        <v>0.19</v>
      </c>
      <c r="J163">
        <v>8.0000000000000002E-3</v>
      </c>
      <c r="K163" t="s">
        <v>409</v>
      </c>
    </row>
    <row r="164" spans="1:11" x14ac:dyDescent="0.25">
      <c r="A164" t="s">
        <v>233</v>
      </c>
      <c r="B164" t="s">
        <v>79</v>
      </c>
      <c r="C164" t="s">
        <v>80</v>
      </c>
      <c r="D164">
        <v>0.22</v>
      </c>
      <c r="E164">
        <v>0.1</v>
      </c>
      <c r="F164">
        <v>1.06</v>
      </c>
      <c r="G164">
        <v>1.9E-2</v>
      </c>
      <c r="H164">
        <v>0.4</v>
      </c>
      <c r="I164">
        <v>0.2</v>
      </c>
      <c r="J164">
        <v>1.4E-2</v>
      </c>
      <c r="K164" t="s">
        <v>404</v>
      </c>
    </row>
    <row r="165" spans="1:11" hidden="1" x14ac:dyDescent="0.25">
      <c r="A165" t="s">
        <v>234</v>
      </c>
      <c r="B165" t="s">
        <v>80</v>
      </c>
      <c r="C165" t="s">
        <v>80</v>
      </c>
      <c r="K165" t="s">
        <v>400</v>
      </c>
    </row>
    <row r="166" spans="1:11" x14ac:dyDescent="0.25">
      <c r="A166" t="s">
        <v>235</v>
      </c>
      <c r="B166" t="s">
        <v>79</v>
      </c>
      <c r="C166" t="s">
        <v>79</v>
      </c>
      <c r="D166">
        <v>0.88</v>
      </c>
      <c r="E166">
        <v>1.0900000000000001</v>
      </c>
      <c r="F166">
        <v>0.88</v>
      </c>
      <c r="G166">
        <v>6.0000000000000001E-3</v>
      </c>
      <c r="H166">
        <v>1.3</v>
      </c>
      <c r="I166">
        <v>0.22</v>
      </c>
      <c r="J166">
        <v>8.9999999999999993E-3</v>
      </c>
      <c r="K166" t="s">
        <v>401</v>
      </c>
    </row>
    <row r="167" spans="1:11" hidden="1" x14ac:dyDescent="0.25">
      <c r="A167" t="s">
        <v>236</v>
      </c>
      <c r="B167" t="s">
        <v>80</v>
      </c>
      <c r="C167" t="s">
        <v>80</v>
      </c>
      <c r="K167" t="s">
        <v>400</v>
      </c>
    </row>
    <row r="168" spans="1:11" x14ac:dyDescent="0.25">
      <c r="A168" t="s">
        <v>237</v>
      </c>
      <c r="B168" t="s">
        <v>79</v>
      </c>
      <c r="C168" t="s">
        <v>80</v>
      </c>
      <c r="D168">
        <v>0.22</v>
      </c>
      <c r="E168">
        <v>0.1</v>
      </c>
      <c r="F168">
        <v>1.06</v>
      </c>
      <c r="G168">
        <v>1.9E-2</v>
      </c>
      <c r="H168">
        <v>0.4</v>
      </c>
      <c r="I168">
        <v>0.2</v>
      </c>
      <c r="J168">
        <v>1.4E-2</v>
      </c>
      <c r="K168" t="s">
        <v>404</v>
      </c>
    </row>
    <row r="169" spans="1:11" x14ac:dyDescent="0.25">
      <c r="A169" t="s">
        <v>238</v>
      </c>
      <c r="B169" t="s">
        <v>79</v>
      </c>
      <c r="C169" t="s">
        <v>80</v>
      </c>
      <c r="D169">
        <v>0.22</v>
      </c>
      <c r="E169">
        <v>0.1</v>
      </c>
      <c r="F169">
        <v>1.06</v>
      </c>
      <c r="G169">
        <v>1.9E-2</v>
      </c>
      <c r="H169">
        <v>0.4</v>
      </c>
      <c r="I169">
        <v>0.2</v>
      </c>
      <c r="J169">
        <v>1.4E-2</v>
      </c>
      <c r="K169" t="s">
        <v>403</v>
      </c>
    </row>
    <row r="170" spans="1:11" x14ac:dyDescent="0.25">
      <c r="A170" t="s">
        <v>239</v>
      </c>
      <c r="B170" t="s">
        <v>79</v>
      </c>
      <c r="C170" t="s">
        <v>80</v>
      </c>
      <c r="D170">
        <v>0.88</v>
      </c>
      <c r="E170">
        <v>1.0900000000000001</v>
      </c>
      <c r="F170">
        <v>0.88</v>
      </c>
      <c r="G170">
        <v>6.0000000000000001E-3</v>
      </c>
      <c r="H170">
        <v>1.3</v>
      </c>
      <c r="I170">
        <v>0.22</v>
      </c>
      <c r="J170">
        <v>8.9999999999999993E-3</v>
      </c>
      <c r="K170" t="s">
        <v>401</v>
      </c>
    </row>
    <row r="171" spans="1:11" x14ac:dyDescent="0.25">
      <c r="A171" t="s">
        <v>240</v>
      </c>
      <c r="B171" t="s">
        <v>79</v>
      </c>
      <c r="C171" t="s">
        <v>80</v>
      </c>
      <c r="D171">
        <v>0.88</v>
      </c>
      <c r="E171">
        <v>1.0900000000000001</v>
      </c>
      <c r="F171">
        <v>0.88</v>
      </c>
      <c r="G171">
        <v>6.0000000000000001E-3</v>
      </c>
      <c r="H171">
        <v>1.3</v>
      </c>
      <c r="I171">
        <v>0.22</v>
      </c>
      <c r="J171">
        <v>8.9999999999999993E-3</v>
      </c>
      <c r="K171" t="s">
        <v>401</v>
      </c>
    </row>
    <row r="172" spans="1:11" hidden="1" x14ac:dyDescent="0.25">
      <c r="A172" t="s">
        <v>241</v>
      </c>
      <c r="B172" t="s">
        <v>80</v>
      </c>
      <c r="C172" t="s">
        <v>80</v>
      </c>
      <c r="K172" t="s">
        <v>400</v>
      </c>
    </row>
    <row r="173" spans="1:11" hidden="1" x14ac:dyDescent="0.25">
      <c r="A173" t="s">
        <v>242</v>
      </c>
      <c r="B173" t="s">
        <v>80</v>
      </c>
      <c r="C173" t="s">
        <v>80</v>
      </c>
      <c r="K173" t="s">
        <v>400</v>
      </c>
    </row>
    <row r="174" spans="1:11" hidden="1" x14ac:dyDescent="0.25">
      <c r="A174" t="s">
        <v>243</v>
      </c>
      <c r="B174" t="s">
        <v>80</v>
      </c>
      <c r="C174" t="s">
        <v>80</v>
      </c>
      <c r="K174" t="s">
        <v>400</v>
      </c>
    </row>
    <row r="175" spans="1:11" hidden="1" x14ac:dyDescent="0.25">
      <c r="A175" t="s">
        <v>244</v>
      </c>
      <c r="B175" t="s">
        <v>80</v>
      </c>
      <c r="C175" t="s">
        <v>80</v>
      </c>
      <c r="K175" t="s">
        <v>400</v>
      </c>
    </row>
    <row r="176" spans="1:11" hidden="1" x14ac:dyDescent="0.25">
      <c r="A176" t="s">
        <v>245</v>
      </c>
      <c r="B176" t="s">
        <v>80</v>
      </c>
      <c r="C176" t="s">
        <v>80</v>
      </c>
      <c r="K176" t="s">
        <v>400</v>
      </c>
    </row>
    <row r="177" spans="1:11" hidden="1" x14ac:dyDescent="0.25">
      <c r="A177" t="s">
        <v>246</v>
      </c>
      <c r="B177" t="s">
        <v>80</v>
      </c>
      <c r="C177" t="s">
        <v>80</v>
      </c>
      <c r="K177" t="s">
        <v>400</v>
      </c>
    </row>
    <row r="178" spans="1:11" hidden="1" x14ac:dyDescent="0.25">
      <c r="A178" t="s">
        <v>247</v>
      </c>
      <c r="B178" t="s">
        <v>80</v>
      </c>
      <c r="C178" t="s">
        <v>80</v>
      </c>
      <c r="K178" t="s">
        <v>400</v>
      </c>
    </row>
    <row r="179" spans="1:11" hidden="1" x14ac:dyDescent="0.25">
      <c r="A179" t="s">
        <v>248</v>
      </c>
      <c r="B179" t="s">
        <v>80</v>
      </c>
      <c r="C179" t="s">
        <v>80</v>
      </c>
      <c r="K179" t="s">
        <v>400</v>
      </c>
    </row>
    <row r="180" spans="1:11" hidden="1" x14ac:dyDescent="0.25">
      <c r="A180" t="s">
        <v>249</v>
      </c>
      <c r="B180" t="s">
        <v>80</v>
      </c>
      <c r="C180" t="s">
        <v>80</v>
      </c>
      <c r="K180" t="s">
        <v>400</v>
      </c>
    </row>
    <row r="181" spans="1:11" hidden="1" x14ac:dyDescent="0.25">
      <c r="A181" t="s">
        <v>250</v>
      </c>
      <c r="B181" t="s">
        <v>80</v>
      </c>
      <c r="C181" t="s">
        <v>80</v>
      </c>
      <c r="K181" t="s">
        <v>400</v>
      </c>
    </row>
    <row r="182" spans="1:11" hidden="1" x14ac:dyDescent="0.25">
      <c r="A182" t="s">
        <v>251</v>
      </c>
      <c r="B182" t="s">
        <v>80</v>
      </c>
      <c r="C182" t="s">
        <v>80</v>
      </c>
      <c r="K182" t="s">
        <v>400</v>
      </c>
    </row>
    <row r="183" spans="1:11" hidden="1" x14ac:dyDescent="0.25">
      <c r="A183" t="s">
        <v>252</v>
      </c>
      <c r="B183" t="s">
        <v>80</v>
      </c>
      <c r="C183" t="s">
        <v>80</v>
      </c>
      <c r="K183" t="s">
        <v>400</v>
      </c>
    </row>
    <row r="184" spans="1:11" hidden="1" x14ac:dyDescent="0.25">
      <c r="A184" t="s">
        <v>253</v>
      </c>
      <c r="B184" t="s">
        <v>80</v>
      </c>
      <c r="C184" t="s">
        <v>80</v>
      </c>
      <c r="K184" t="s">
        <v>400</v>
      </c>
    </row>
    <row r="185" spans="1:11" hidden="1" x14ac:dyDescent="0.25">
      <c r="A185" t="s">
        <v>254</v>
      </c>
      <c r="B185" t="s">
        <v>80</v>
      </c>
      <c r="C185" t="s">
        <v>80</v>
      </c>
      <c r="K185" t="s">
        <v>400</v>
      </c>
    </row>
    <row r="186" spans="1:11" hidden="1" x14ac:dyDescent="0.25">
      <c r="A186" t="s">
        <v>255</v>
      </c>
      <c r="B186" t="s">
        <v>80</v>
      </c>
      <c r="C186" t="s">
        <v>80</v>
      </c>
      <c r="K186" t="s">
        <v>400</v>
      </c>
    </row>
    <row r="187" spans="1:11" hidden="1" x14ac:dyDescent="0.25">
      <c r="A187" t="s">
        <v>256</v>
      </c>
      <c r="B187" t="s">
        <v>80</v>
      </c>
      <c r="C187" t="s">
        <v>80</v>
      </c>
      <c r="K187" t="s">
        <v>400</v>
      </c>
    </row>
    <row r="188" spans="1:11" x14ac:dyDescent="0.25">
      <c r="A188" t="s">
        <v>257</v>
      </c>
      <c r="B188" t="s">
        <v>79</v>
      </c>
      <c r="C188" t="s">
        <v>80</v>
      </c>
      <c r="D188">
        <v>0.91</v>
      </c>
      <c r="E188">
        <v>0.93</v>
      </c>
      <c r="F188">
        <v>1.35</v>
      </c>
      <c r="G188">
        <v>8.0000000000000002E-3</v>
      </c>
      <c r="H188">
        <v>2.1</v>
      </c>
      <c r="I188">
        <v>0.19</v>
      </c>
      <c r="J188">
        <v>8.0000000000000002E-3</v>
      </c>
      <c r="K188" t="s">
        <v>409</v>
      </c>
    </row>
    <row r="189" spans="1:11" hidden="1" x14ac:dyDescent="0.25">
      <c r="A189" t="s">
        <v>258</v>
      </c>
      <c r="B189" t="s">
        <v>80</v>
      </c>
      <c r="C189" t="s">
        <v>80</v>
      </c>
      <c r="K189" t="s">
        <v>400</v>
      </c>
    </row>
    <row r="190" spans="1:11" x14ac:dyDescent="0.25">
      <c r="A190" t="s">
        <v>259</v>
      </c>
      <c r="B190" t="s">
        <v>79</v>
      </c>
      <c r="C190" t="s">
        <v>80</v>
      </c>
      <c r="D190">
        <v>0.22</v>
      </c>
      <c r="E190">
        <v>0.1</v>
      </c>
      <c r="F190">
        <v>1.06</v>
      </c>
      <c r="G190">
        <v>1.9E-2</v>
      </c>
      <c r="H190">
        <v>0.4</v>
      </c>
      <c r="I190">
        <v>0.2</v>
      </c>
      <c r="J190">
        <v>1.4E-2</v>
      </c>
      <c r="K190" t="s">
        <v>403</v>
      </c>
    </row>
    <row r="191" spans="1:11" x14ac:dyDescent="0.25">
      <c r="A191" t="s">
        <v>260</v>
      </c>
      <c r="B191" t="s">
        <v>79</v>
      </c>
      <c r="C191" t="s">
        <v>80</v>
      </c>
      <c r="D191">
        <v>0.22</v>
      </c>
      <c r="E191">
        <v>0.1</v>
      </c>
      <c r="F191">
        <v>1.06</v>
      </c>
      <c r="G191">
        <v>1.9E-2</v>
      </c>
      <c r="H191">
        <v>0.4</v>
      </c>
      <c r="I191">
        <v>0.2</v>
      </c>
      <c r="J191">
        <v>1.4E-2</v>
      </c>
      <c r="K191" t="s">
        <v>403</v>
      </c>
    </row>
    <row r="192" spans="1:11" x14ac:dyDescent="0.25">
      <c r="A192" t="s">
        <v>261</v>
      </c>
      <c r="B192" t="s">
        <v>79</v>
      </c>
      <c r="C192" t="s">
        <v>80</v>
      </c>
      <c r="D192">
        <v>0.22</v>
      </c>
      <c r="E192">
        <v>0.1</v>
      </c>
      <c r="F192">
        <v>1.06</v>
      </c>
      <c r="G192">
        <v>1.9E-2</v>
      </c>
      <c r="H192">
        <v>0.4</v>
      </c>
      <c r="I192">
        <v>0.2</v>
      </c>
      <c r="J192">
        <v>1.4E-2</v>
      </c>
      <c r="K192" t="s">
        <v>403</v>
      </c>
    </row>
    <row r="193" spans="1:11" hidden="1" x14ac:dyDescent="0.25">
      <c r="A193" t="s">
        <v>52</v>
      </c>
      <c r="B193" t="s">
        <v>80</v>
      </c>
      <c r="C193" t="s">
        <v>80</v>
      </c>
      <c r="K193" t="s">
        <v>400</v>
      </c>
    </row>
    <row r="194" spans="1:11" x14ac:dyDescent="0.25">
      <c r="A194" t="s">
        <v>262</v>
      </c>
      <c r="B194" t="s">
        <v>79</v>
      </c>
      <c r="C194" t="s">
        <v>80</v>
      </c>
      <c r="D194">
        <v>0.88</v>
      </c>
      <c r="E194">
        <v>1.0900000000000001</v>
      </c>
      <c r="F194">
        <v>0.88</v>
      </c>
      <c r="G194">
        <v>6.0000000000000001E-3</v>
      </c>
      <c r="H194">
        <v>1.3</v>
      </c>
      <c r="I194">
        <v>0.22</v>
      </c>
      <c r="J194">
        <v>8.9999999999999993E-3</v>
      </c>
      <c r="K194" t="s">
        <v>401</v>
      </c>
    </row>
    <row r="195" spans="1:11" x14ac:dyDescent="0.25">
      <c r="A195" t="s">
        <v>263</v>
      </c>
      <c r="B195" t="s">
        <v>79</v>
      </c>
      <c r="C195" t="s">
        <v>80</v>
      </c>
      <c r="D195">
        <v>0.22</v>
      </c>
      <c r="E195">
        <v>0.1</v>
      </c>
      <c r="F195">
        <v>1.06</v>
      </c>
      <c r="G195">
        <v>1.9E-2</v>
      </c>
      <c r="H195">
        <v>0.4</v>
      </c>
      <c r="I195">
        <v>0.2</v>
      </c>
      <c r="J195">
        <v>1.4E-2</v>
      </c>
      <c r="K195" t="s">
        <v>404</v>
      </c>
    </row>
    <row r="196" spans="1:11" x14ac:dyDescent="0.25">
      <c r="A196" t="s">
        <v>264</v>
      </c>
      <c r="B196" t="s">
        <v>79</v>
      </c>
      <c r="C196" t="s">
        <v>80</v>
      </c>
      <c r="D196">
        <v>0.88</v>
      </c>
      <c r="E196">
        <v>1.0900000000000001</v>
      </c>
      <c r="F196">
        <v>0.88</v>
      </c>
      <c r="G196">
        <v>6.0000000000000001E-3</v>
      </c>
      <c r="H196">
        <v>1.3</v>
      </c>
      <c r="I196">
        <v>0.22</v>
      </c>
      <c r="J196">
        <v>8.9999999999999993E-3</v>
      </c>
      <c r="K196" t="s">
        <v>401</v>
      </c>
    </row>
    <row r="197" spans="1:11" x14ac:dyDescent="0.25">
      <c r="A197" t="s">
        <v>265</v>
      </c>
      <c r="B197" t="s">
        <v>79</v>
      </c>
      <c r="C197" t="s">
        <v>80</v>
      </c>
      <c r="D197">
        <v>0.22</v>
      </c>
      <c r="E197">
        <v>0.1</v>
      </c>
      <c r="F197">
        <v>1.06</v>
      </c>
      <c r="G197">
        <v>1.9E-2</v>
      </c>
      <c r="H197">
        <v>0.4</v>
      </c>
      <c r="I197">
        <v>0.2</v>
      </c>
      <c r="J197">
        <v>1.4E-2</v>
      </c>
      <c r="K197" t="s">
        <v>403</v>
      </c>
    </row>
    <row r="198" spans="1:11" hidden="1" x14ac:dyDescent="0.25">
      <c r="A198" t="s">
        <v>266</v>
      </c>
      <c r="B198" t="s">
        <v>80</v>
      </c>
      <c r="C198" t="s">
        <v>80</v>
      </c>
      <c r="K198" t="s">
        <v>400</v>
      </c>
    </row>
    <row r="199" spans="1:11" x14ac:dyDescent="0.25">
      <c r="A199" t="s">
        <v>267</v>
      </c>
      <c r="B199" t="s">
        <v>79</v>
      </c>
      <c r="C199" t="s">
        <v>80</v>
      </c>
      <c r="D199">
        <v>1</v>
      </c>
      <c r="E199">
        <v>1.1299999999999999</v>
      </c>
      <c r="F199">
        <v>0.85</v>
      </c>
      <c r="G199">
        <v>8.0000000000000002E-3</v>
      </c>
      <c r="H199">
        <v>0.3</v>
      </c>
      <c r="I199">
        <v>0.8</v>
      </c>
      <c r="J199">
        <v>1.2E-2</v>
      </c>
      <c r="K199" t="s">
        <v>412</v>
      </c>
    </row>
    <row r="200" spans="1:11" x14ac:dyDescent="0.25">
      <c r="A200" t="s">
        <v>54</v>
      </c>
      <c r="B200" t="s">
        <v>79</v>
      </c>
      <c r="C200" t="s">
        <v>80</v>
      </c>
      <c r="D200">
        <v>0.9</v>
      </c>
      <c r="E200">
        <v>0.3</v>
      </c>
      <c r="F200">
        <v>0</v>
      </c>
      <c r="G200">
        <v>1.4999999999999999E-2</v>
      </c>
      <c r="H200">
        <v>0.3</v>
      </c>
      <c r="I200">
        <v>0.8</v>
      </c>
      <c r="J200">
        <v>1.2E-2</v>
      </c>
      <c r="K200" t="s">
        <v>423</v>
      </c>
    </row>
    <row r="201" spans="1:11" x14ac:dyDescent="0.25">
      <c r="A201" t="s">
        <v>268</v>
      </c>
      <c r="B201" t="s">
        <v>79</v>
      </c>
      <c r="C201" t="s">
        <v>80</v>
      </c>
      <c r="D201">
        <v>0.88</v>
      </c>
      <c r="E201">
        <v>1.0900000000000001</v>
      </c>
      <c r="F201">
        <v>0.88</v>
      </c>
      <c r="G201">
        <v>6.0000000000000001E-3</v>
      </c>
      <c r="H201">
        <v>1.3</v>
      </c>
      <c r="I201">
        <v>0.22</v>
      </c>
      <c r="J201">
        <v>8.9999999999999993E-3</v>
      </c>
      <c r="K201" t="s">
        <v>402</v>
      </c>
    </row>
    <row r="202" spans="1:11" x14ac:dyDescent="0.25">
      <c r="A202" t="s">
        <v>269</v>
      </c>
      <c r="B202" t="s">
        <v>79</v>
      </c>
      <c r="C202" t="s">
        <v>80</v>
      </c>
      <c r="D202">
        <v>0.22</v>
      </c>
      <c r="E202">
        <v>0.1</v>
      </c>
      <c r="F202">
        <v>1.06</v>
      </c>
      <c r="G202">
        <v>1.9E-2</v>
      </c>
      <c r="H202">
        <v>0.4</v>
      </c>
      <c r="I202">
        <v>0.2</v>
      </c>
      <c r="J202">
        <v>1.4E-2</v>
      </c>
      <c r="K202" t="s">
        <v>403</v>
      </c>
    </row>
    <row r="203" spans="1:11" x14ac:dyDescent="0.25">
      <c r="A203" t="s">
        <v>270</v>
      </c>
      <c r="B203" t="s">
        <v>79</v>
      </c>
      <c r="C203" t="s">
        <v>80</v>
      </c>
      <c r="D203">
        <v>0.22</v>
      </c>
      <c r="E203">
        <v>0.1</v>
      </c>
      <c r="F203">
        <v>1.06</v>
      </c>
      <c r="G203">
        <v>1.9E-2</v>
      </c>
      <c r="H203">
        <v>0.4</v>
      </c>
      <c r="I203">
        <v>0.2</v>
      </c>
      <c r="J203">
        <v>1.4E-2</v>
      </c>
      <c r="K203" t="s">
        <v>403</v>
      </c>
    </row>
    <row r="204" spans="1:11" x14ac:dyDescent="0.25">
      <c r="A204" t="s">
        <v>271</v>
      </c>
      <c r="B204" t="s">
        <v>79</v>
      </c>
      <c r="C204" t="s">
        <v>80</v>
      </c>
      <c r="D204">
        <v>0.22</v>
      </c>
      <c r="E204">
        <v>0.1</v>
      </c>
      <c r="F204">
        <v>1.06</v>
      </c>
      <c r="G204">
        <v>1.9E-2</v>
      </c>
      <c r="H204">
        <v>0.4</v>
      </c>
      <c r="I204">
        <v>0.2</v>
      </c>
      <c r="J204">
        <v>1.4E-2</v>
      </c>
      <c r="K204" t="s">
        <v>403</v>
      </c>
    </row>
    <row r="205" spans="1:11" x14ac:dyDescent="0.25">
      <c r="A205" t="s">
        <v>272</v>
      </c>
      <c r="B205" t="s">
        <v>79</v>
      </c>
      <c r="C205" t="s">
        <v>80</v>
      </c>
      <c r="D205">
        <v>0.91</v>
      </c>
      <c r="E205">
        <v>0.93</v>
      </c>
      <c r="F205">
        <v>1.35</v>
      </c>
      <c r="G205">
        <v>8.0000000000000002E-3</v>
      </c>
      <c r="H205">
        <v>0.4</v>
      </c>
      <c r="I205">
        <v>0.2</v>
      </c>
      <c r="J205">
        <v>1.4E-2</v>
      </c>
      <c r="K205" t="s">
        <v>409</v>
      </c>
    </row>
    <row r="206" spans="1:11" x14ac:dyDescent="0.25">
      <c r="A206" t="s">
        <v>25</v>
      </c>
      <c r="B206" t="s">
        <v>79</v>
      </c>
      <c r="C206" t="s">
        <v>79</v>
      </c>
      <c r="D206">
        <v>0.22</v>
      </c>
      <c r="E206">
        <v>0.1</v>
      </c>
      <c r="F206">
        <v>1.06</v>
      </c>
      <c r="G206">
        <v>1.9E-2</v>
      </c>
      <c r="H206">
        <v>0.4</v>
      </c>
      <c r="I206">
        <v>0.2</v>
      </c>
      <c r="J206">
        <v>1.4E-2</v>
      </c>
      <c r="K206" t="s">
        <v>424</v>
      </c>
    </row>
    <row r="207" spans="1:11" x14ac:dyDescent="0.25">
      <c r="A207" t="s">
        <v>273</v>
      </c>
      <c r="B207" t="s">
        <v>79</v>
      </c>
      <c r="C207" t="s">
        <v>80</v>
      </c>
      <c r="D207">
        <v>0.22</v>
      </c>
      <c r="E207">
        <v>0.1</v>
      </c>
      <c r="F207">
        <v>1.06</v>
      </c>
      <c r="G207">
        <v>1.9E-2</v>
      </c>
      <c r="H207">
        <v>0.4</v>
      </c>
      <c r="I207">
        <v>0.2</v>
      </c>
      <c r="J207">
        <v>1.4E-2</v>
      </c>
      <c r="K207" t="s">
        <v>404</v>
      </c>
    </row>
    <row r="208" spans="1:11" hidden="1" x14ac:dyDescent="0.25">
      <c r="A208" t="s">
        <v>274</v>
      </c>
      <c r="B208" t="s">
        <v>80</v>
      </c>
      <c r="C208" t="s">
        <v>80</v>
      </c>
      <c r="K208" t="s">
        <v>400</v>
      </c>
    </row>
    <row r="209" spans="1:11" x14ac:dyDescent="0.25">
      <c r="A209" t="s">
        <v>275</v>
      </c>
      <c r="B209" t="s">
        <v>79</v>
      </c>
      <c r="C209" t="s">
        <v>80</v>
      </c>
      <c r="D209">
        <v>0.22</v>
      </c>
      <c r="E209">
        <v>0.1</v>
      </c>
      <c r="F209">
        <v>1.06</v>
      </c>
      <c r="G209">
        <v>1.9E-2</v>
      </c>
      <c r="H209">
        <v>1.3</v>
      </c>
      <c r="I209">
        <v>0.22</v>
      </c>
      <c r="J209">
        <v>8.9999999999999993E-3</v>
      </c>
      <c r="K209" t="s">
        <v>403</v>
      </c>
    </row>
    <row r="210" spans="1:11" x14ac:dyDescent="0.25">
      <c r="A210" t="s">
        <v>56</v>
      </c>
      <c r="B210" t="s">
        <v>79</v>
      </c>
      <c r="C210" t="s">
        <v>79</v>
      </c>
      <c r="D210">
        <v>0.88</v>
      </c>
      <c r="E210">
        <v>1.0900000000000001</v>
      </c>
      <c r="F210">
        <v>0.88</v>
      </c>
      <c r="G210">
        <v>6.0000000000000001E-3</v>
      </c>
      <c r="H210">
        <v>1.3</v>
      </c>
      <c r="I210">
        <v>0.22</v>
      </c>
      <c r="J210">
        <v>8.9999999999999993E-3</v>
      </c>
      <c r="K210" t="s">
        <v>425</v>
      </c>
    </row>
    <row r="211" spans="1:11" hidden="1" x14ac:dyDescent="0.25">
      <c r="A211" t="s">
        <v>276</v>
      </c>
      <c r="B211" t="s">
        <v>80</v>
      </c>
      <c r="C211" t="s">
        <v>80</v>
      </c>
      <c r="K211" t="s">
        <v>400</v>
      </c>
    </row>
    <row r="212" spans="1:11" hidden="1" x14ac:dyDescent="0.25">
      <c r="A212" t="s">
        <v>277</v>
      </c>
      <c r="B212" t="s">
        <v>80</v>
      </c>
      <c r="C212" t="s">
        <v>80</v>
      </c>
      <c r="K212" t="s">
        <v>400</v>
      </c>
    </row>
    <row r="213" spans="1:11" x14ac:dyDescent="0.25">
      <c r="A213" t="s">
        <v>278</v>
      </c>
      <c r="B213" t="s">
        <v>79</v>
      </c>
      <c r="C213" t="s">
        <v>80</v>
      </c>
      <c r="D213">
        <v>0.91</v>
      </c>
      <c r="E213">
        <v>0.93</v>
      </c>
      <c r="F213">
        <v>1.35</v>
      </c>
      <c r="G213">
        <v>8.0000000000000002E-3</v>
      </c>
      <c r="H213">
        <v>2.1</v>
      </c>
      <c r="I213">
        <v>0.19</v>
      </c>
      <c r="J213">
        <v>8.0000000000000002E-3</v>
      </c>
      <c r="K213" t="s">
        <v>409</v>
      </c>
    </row>
    <row r="214" spans="1:11" x14ac:dyDescent="0.25">
      <c r="A214" t="s">
        <v>279</v>
      </c>
      <c r="B214" t="s">
        <v>79</v>
      </c>
      <c r="C214" t="s">
        <v>80</v>
      </c>
      <c r="D214">
        <v>0.91</v>
      </c>
      <c r="E214">
        <v>0.93</v>
      </c>
      <c r="F214">
        <v>1.35</v>
      </c>
      <c r="G214">
        <v>8.0000000000000002E-3</v>
      </c>
      <c r="H214">
        <v>2.1</v>
      </c>
      <c r="I214">
        <v>0.19</v>
      </c>
      <c r="J214">
        <v>8.0000000000000002E-3</v>
      </c>
      <c r="K214" t="s">
        <v>409</v>
      </c>
    </row>
    <row r="215" spans="1:11" x14ac:dyDescent="0.25">
      <c r="A215" t="s">
        <v>280</v>
      </c>
      <c r="B215" t="s">
        <v>79</v>
      </c>
      <c r="C215" t="s">
        <v>80</v>
      </c>
      <c r="D215">
        <v>0.22</v>
      </c>
      <c r="E215">
        <v>0.1</v>
      </c>
      <c r="F215">
        <v>1.06</v>
      </c>
      <c r="G215">
        <v>1.9E-2</v>
      </c>
      <c r="H215">
        <v>0.4</v>
      </c>
      <c r="I215">
        <v>0.2</v>
      </c>
      <c r="J215">
        <v>1.4E-2</v>
      </c>
      <c r="K215" t="s">
        <v>403</v>
      </c>
    </row>
    <row r="216" spans="1:11" hidden="1" x14ac:dyDescent="0.25">
      <c r="A216" t="s">
        <v>281</v>
      </c>
      <c r="B216" t="s">
        <v>80</v>
      </c>
      <c r="C216" t="s">
        <v>80</v>
      </c>
      <c r="K216" t="s">
        <v>400</v>
      </c>
    </row>
    <row r="217" spans="1:11" hidden="1" x14ac:dyDescent="0.25">
      <c r="A217" t="s">
        <v>282</v>
      </c>
      <c r="B217" t="s">
        <v>80</v>
      </c>
      <c r="C217" t="s">
        <v>80</v>
      </c>
      <c r="K217" t="s">
        <v>400</v>
      </c>
    </row>
    <row r="218" spans="1:11" hidden="1" x14ac:dyDescent="0.25">
      <c r="A218" t="s">
        <v>283</v>
      </c>
      <c r="B218" t="s">
        <v>80</v>
      </c>
      <c r="C218" t="s">
        <v>80</v>
      </c>
      <c r="K218" t="s">
        <v>400</v>
      </c>
    </row>
    <row r="219" spans="1:11" hidden="1" x14ac:dyDescent="0.25">
      <c r="A219" t="s">
        <v>284</v>
      </c>
      <c r="B219" t="s">
        <v>80</v>
      </c>
      <c r="C219" t="s">
        <v>80</v>
      </c>
      <c r="K219" t="s">
        <v>400</v>
      </c>
    </row>
    <row r="220" spans="1:11" hidden="1" x14ac:dyDescent="0.25">
      <c r="A220" t="s">
        <v>285</v>
      </c>
      <c r="B220" t="s">
        <v>80</v>
      </c>
      <c r="C220" t="s">
        <v>80</v>
      </c>
      <c r="K220" t="s">
        <v>400</v>
      </c>
    </row>
    <row r="221" spans="1:11" hidden="1" x14ac:dyDescent="0.25">
      <c r="A221" t="s">
        <v>286</v>
      </c>
      <c r="B221" t="s">
        <v>80</v>
      </c>
      <c r="C221" t="s">
        <v>80</v>
      </c>
      <c r="K221" t="s">
        <v>400</v>
      </c>
    </row>
    <row r="222" spans="1:11" hidden="1" x14ac:dyDescent="0.25">
      <c r="A222" t="s">
        <v>287</v>
      </c>
      <c r="B222" t="s">
        <v>80</v>
      </c>
      <c r="C222" t="s">
        <v>80</v>
      </c>
      <c r="K222" t="s">
        <v>400</v>
      </c>
    </row>
    <row r="223" spans="1:11" hidden="1" x14ac:dyDescent="0.25">
      <c r="A223" t="s">
        <v>288</v>
      </c>
      <c r="B223" t="s">
        <v>80</v>
      </c>
      <c r="C223" t="s">
        <v>80</v>
      </c>
      <c r="K223" t="s">
        <v>400</v>
      </c>
    </row>
    <row r="224" spans="1:11" hidden="1" x14ac:dyDescent="0.25">
      <c r="A224" t="s">
        <v>289</v>
      </c>
      <c r="B224" t="s">
        <v>80</v>
      </c>
      <c r="C224" t="s">
        <v>80</v>
      </c>
      <c r="K224" t="s">
        <v>400</v>
      </c>
    </row>
    <row r="225" spans="1:11" hidden="1" x14ac:dyDescent="0.25">
      <c r="A225" t="s">
        <v>290</v>
      </c>
      <c r="B225" t="s">
        <v>80</v>
      </c>
      <c r="C225" t="s">
        <v>80</v>
      </c>
      <c r="K225" t="s">
        <v>400</v>
      </c>
    </row>
    <row r="226" spans="1:11" hidden="1" x14ac:dyDescent="0.25">
      <c r="A226" t="s">
        <v>291</v>
      </c>
      <c r="B226" t="s">
        <v>80</v>
      </c>
      <c r="C226" t="s">
        <v>80</v>
      </c>
      <c r="K226" t="s">
        <v>400</v>
      </c>
    </row>
    <row r="227" spans="1:11" x14ac:dyDescent="0.25">
      <c r="A227" t="s">
        <v>17</v>
      </c>
      <c r="B227" t="s">
        <v>79</v>
      </c>
      <c r="C227" t="s">
        <v>79</v>
      </c>
      <c r="D227">
        <v>0.89</v>
      </c>
      <c r="E227">
        <v>0.95</v>
      </c>
      <c r="F227">
        <v>2.46</v>
      </c>
      <c r="G227">
        <v>7.0000000000000001E-3</v>
      </c>
      <c r="H227">
        <v>1.6</v>
      </c>
      <c r="I227">
        <v>0</v>
      </c>
      <c r="J227">
        <v>1.0999999999999999E-2</v>
      </c>
      <c r="K227" t="s">
        <v>407</v>
      </c>
    </row>
    <row r="228" spans="1:11" x14ac:dyDescent="0.25">
      <c r="A228" t="s">
        <v>22</v>
      </c>
      <c r="B228" t="s">
        <v>79</v>
      </c>
      <c r="C228" t="s">
        <v>79</v>
      </c>
      <c r="D228">
        <v>1</v>
      </c>
      <c r="E228">
        <v>1.0900000000000001</v>
      </c>
      <c r="F228">
        <v>0.88</v>
      </c>
      <c r="G228">
        <v>5.0000000000000001E-3</v>
      </c>
      <c r="H228">
        <v>1.6</v>
      </c>
      <c r="I228">
        <v>0</v>
      </c>
      <c r="J228">
        <v>1.0999999999999999E-2</v>
      </c>
      <c r="K228" t="s">
        <v>426</v>
      </c>
    </row>
    <row r="229" spans="1:11" x14ac:dyDescent="0.25">
      <c r="A229" t="s">
        <v>292</v>
      </c>
      <c r="B229" t="s">
        <v>79</v>
      </c>
      <c r="C229" t="s">
        <v>80</v>
      </c>
      <c r="D229">
        <v>0.91</v>
      </c>
      <c r="E229">
        <v>0.93</v>
      </c>
      <c r="F229">
        <v>1.35</v>
      </c>
      <c r="G229">
        <v>8.0000000000000002E-3</v>
      </c>
      <c r="H229">
        <v>2.1</v>
      </c>
      <c r="I229">
        <v>0.19</v>
      </c>
      <c r="J229">
        <v>8.0000000000000002E-3</v>
      </c>
      <c r="K229" t="s">
        <v>409</v>
      </c>
    </row>
    <row r="230" spans="1:11" hidden="1" x14ac:dyDescent="0.25">
      <c r="A230" t="s">
        <v>293</v>
      </c>
      <c r="B230" t="s">
        <v>80</v>
      </c>
      <c r="C230" t="s">
        <v>80</v>
      </c>
      <c r="K230" t="s">
        <v>400</v>
      </c>
    </row>
    <row r="231" spans="1:11" hidden="1" x14ac:dyDescent="0.25">
      <c r="A231" t="s">
        <v>294</v>
      </c>
      <c r="B231" t="s">
        <v>80</v>
      </c>
      <c r="C231" t="s">
        <v>80</v>
      </c>
      <c r="K231" t="s">
        <v>400</v>
      </c>
    </row>
    <row r="232" spans="1:11" x14ac:dyDescent="0.25">
      <c r="A232" t="s">
        <v>295</v>
      </c>
      <c r="B232" t="s">
        <v>79</v>
      </c>
      <c r="C232" t="s">
        <v>80</v>
      </c>
      <c r="D232">
        <v>0.91</v>
      </c>
      <c r="E232">
        <v>0.93</v>
      </c>
      <c r="F232">
        <v>1.35</v>
      </c>
      <c r="G232">
        <v>8.0000000000000002E-3</v>
      </c>
      <c r="H232">
        <v>2.1</v>
      </c>
      <c r="I232">
        <v>0.19</v>
      </c>
      <c r="J232">
        <v>8.0000000000000002E-3</v>
      </c>
      <c r="K232" t="s">
        <v>409</v>
      </c>
    </row>
    <row r="233" spans="1:11" hidden="1" x14ac:dyDescent="0.25">
      <c r="A233" t="s">
        <v>296</v>
      </c>
      <c r="B233" t="s">
        <v>80</v>
      </c>
      <c r="C233" t="s">
        <v>80</v>
      </c>
      <c r="K233" t="s">
        <v>400</v>
      </c>
    </row>
    <row r="234" spans="1:11" hidden="1" x14ac:dyDescent="0.25">
      <c r="A234" t="s">
        <v>297</v>
      </c>
      <c r="B234" t="s">
        <v>80</v>
      </c>
      <c r="C234" t="s">
        <v>80</v>
      </c>
      <c r="K234" t="s">
        <v>400</v>
      </c>
    </row>
    <row r="235" spans="1:11" hidden="1" x14ac:dyDescent="0.25">
      <c r="A235" t="s">
        <v>298</v>
      </c>
      <c r="B235" t="s">
        <v>80</v>
      </c>
      <c r="C235" t="s">
        <v>80</v>
      </c>
      <c r="K235" t="s">
        <v>400</v>
      </c>
    </row>
    <row r="236" spans="1:11" hidden="1" x14ac:dyDescent="0.25">
      <c r="A236" t="s">
        <v>299</v>
      </c>
      <c r="B236" t="s">
        <v>80</v>
      </c>
      <c r="C236" t="s">
        <v>80</v>
      </c>
      <c r="K236" t="s">
        <v>400</v>
      </c>
    </row>
    <row r="237" spans="1:11" hidden="1" x14ac:dyDescent="0.25">
      <c r="A237" t="s">
        <v>300</v>
      </c>
      <c r="B237" t="s">
        <v>80</v>
      </c>
      <c r="C237" t="s">
        <v>80</v>
      </c>
      <c r="K237" t="s">
        <v>400</v>
      </c>
    </row>
    <row r="238" spans="1:11" hidden="1" x14ac:dyDescent="0.25">
      <c r="A238" t="s">
        <v>301</v>
      </c>
      <c r="B238" t="s">
        <v>80</v>
      </c>
      <c r="C238" t="s">
        <v>80</v>
      </c>
      <c r="K238" t="s">
        <v>400</v>
      </c>
    </row>
    <row r="239" spans="1:11" hidden="1" x14ac:dyDescent="0.25">
      <c r="A239" t="s">
        <v>302</v>
      </c>
      <c r="B239" t="s">
        <v>80</v>
      </c>
      <c r="C239" t="s">
        <v>80</v>
      </c>
      <c r="K239" t="s">
        <v>400</v>
      </c>
    </row>
    <row r="240" spans="1:11" hidden="1" x14ac:dyDescent="0.25">
      <c r="A240" t="s">
        <v>303</v>
      </c>
      <c r="B240" t="s">
        <v>80</v>
      </c>
      <c r="C240" t="s">
        <v>80</v>
      </c>
      <c r="K240" t="s">
        <v>400</v>
      </c>
    </row>
    <row r="241" spans="1:11" hidden="1" x14ac:dyDescent="0.25">
      <c r="A241" t="s">
        <v>304</v>
      </c>
      <c r="B241" t="s">
        <v>80</v>
      </c>
      <c r="C241" t="s">
        <v>80</v>
      </c>
      <c r="K241" t="s">
        <v>400</v>
      </c>
    </row>
    <row r="242" spans="1:11" hidden="1" x14ac:dyDescent="0.25">
      <c r="A242" t="s">
        <v>305</v>
      </c>
      <c r="B242" t="s">
        <v>80</v>
      </c>
      <c r="C242" t="s">
        <v>80</v>
      </c>
      <c r="H242">
        <v>1.4</v>
      </c>
      <c r="I242">
        <v>0</v>
      </c>
      <c r="J242">
        <v>6.0000000000000001E-3</v>
      </c>
      <c r="K242" t="s">
        <v>400</v>
      </c>
    </row>
    <row r="243" spans="1:11" x14ac:dyDescent="0.25">
      <c r="A243" t="s">
        <v>21</v>
      </c>
      <c r="B243" t="s">
        <v>79</v>
      </c>
      <c r="C243" t="s">
        <v>79</v>
      </c>
      <c r="D243">
        <v>0.89</v>
      </c>
      <c r="E243">
        <v>0.88</v>
      </c>
      <c r="F243">
        <v>1.33</v>
      </c>
      <c r="G243">
        <v>7.0000000000000001E-3</v>
      </c>
      <c r="H243">
        <v>1.4</v>
      </c>
      <c r="I243">
        <v>0</v>
      </c>
      <c r="J243">
        <v>6.0000000000000001E-3</v>
      </c>
      <c r="K243" t="s">
        <v>427</v>
      </c>
    </row>
    <row r="244" spans="1:11" x14ac:dyDescent="0.25">
      <c r="A244" t="s">
        <v>306</v>
      </c>
      <c r="B244" t="s">
        <v>79</v>
      </c>
      <c r="C244" t="s">
        <v>80</v>
      </c>
      <c r="D244">
        <v>0.22</v>
      </c>
      <c r="E244">
        <v>0.1</v>
      </c>
      <c r="F244">
        <v>1.06</v>
      </c>
      <c r="G244">
        <v>1.9E-2</v>
      </c>
      <c r="H244">
        <v>0.4</v>
      </c>
      <c r="I244">
        <v>0.2</v>
      </c>
      <c r="J244">
        <v>1.4E-2</v>
      </c>
      <c r="K244" t="s">
        <v>403</v>
      </c>
    </row>
    <row r="245" spans="1:11" x14ac:dyDescent="0.25">
      <c r="A245" t="s">
        <v>307</v>
      </c>
      <c r="B245" t="s">
        <v>79</v>
      </c>
      <c r="C245" t="s">
        <v>80</v>
      </c>
      <c r="D245">
        <v>1</v>
      </c>
      <c r="E245">
        <v>1.1299999999999999</v>
      </c>
      <c r="F245">
        <v>0.85</v>
      </c>
      <c r="G245">
        <v>8.0000000000000002E-3</v>
      </c>
      <c r="H245">
        <v>2.1</v>
      </c>
      <c r="I245">
        <v>0.19</v>
      </c>
      <c r="J245">
        <v>8.0000000000000002E-3</v>
      </c>
      <c r="K245" t="s">
        <v>408</v>
      </c>
    </row>
    <row r="246" spans="1:11" x14ac:dyDescent="0.25">
      <c r="A246" t="s">
        <v>308</v>
      </c>
      <c r="B246" t="s">
        <v>79</v>
      </c>
      <c r="C246" t="s">
        <v>80</v>
      </c>
      <c r="D246">
        <v>0.88</v>
      </c>
      <c r="E246">
        <v>1.0900000000000001</v>
      </c>
      <c r="F246">
        <v>0.88</v>
      </c>
      <c r="G246">
        <v>6.0000000000000001E-3</v>
      </c>
      <c r="H246">
        <v>1.3</v>
      </c>
      <c r="I246">
        <v>0.22</v>
      </c>
      <c r="J246">
        <v>8.9999999999999993E-3</v>
      </c>
      <c r="K246" t="s">
        <v>401</v>
      </c>
    </row>
    <row r="247" spans="1:11" x14ac:dyDescent="0.25">
      <c r="A247" t="s">
        <v>309</v>
      </c>
      <c r="B247" t="s">
        <v>79</v>
      </c>
      <c r="C247" t="s">
        <v>80</v>
      </c>
      <c r="D247">
        <v>0.22</v>
      </c>
      <c r="E247">
        <v>0.1</v>
      </c>
      <c r="F247">
        <v>1.06</v>
      </c>
      <c r="G247">
        <v>1.9E-2</v>
      </c>
      <c r="H247">
        <v>0.4</v>
      </c>
      <c r="I247">
        <v>0.2</v>
      </c>
      <c r="J247">
        <v>1.4E-2</v>
      </c>
      <c r="K247" t="s">
        <v>404</v>
      </c>
    </row>
    <row r="248" spans="1:11" x14ac:dyDescent="0.25">
      <c r="A248" t="s">
        <v>310</v>
      </c>
      <c r="B248" t="s">
        <v>79</v>
      </c>
      <c r="C248" t="s">
        <v>80</v>
      </c>
      <c r="D248">
        <v>0.22</v>
      </c>
      <c r="E248">
        <v>0.1</v>
      </c>
      <c r="F248">
        <v>1.06</v>
      </c>
      <c r="G248">
        <v>1.9E-2</v>
      </c>
      <c r="H248">
        <v>2.1</v>
      </c>
      <c r="I248">
        <v>0.19</v>
      </c>
      <c r="J248">
        <v>8.0000000000000002E-3</v>
      </c>
      <c r="K248" t="s">
        <v>403</v>
      </c>
    </row>
    <row r="249" spans="1:11" x14ac:dyDescent="0.25">
      <c r="A249" t="s">
        <v>59</v>
      </c>
      <c r="B249" t="s">
        <v>79</v>
      </c>
      <c r="C249" t="s">
        <v>80</v>
      </c>
      <c r="D249">
        <v>1</v>
      </c>
      <c r="E249">
        <v>1.1299999999999999</v>
      </c>
      <c r="F249">
        <v>0.85</v>
      </c>
      <c r="G249">
        <v>8.0000000000000002E-3</v>
      </c>
      <c r="H249">
        <v>0.4</v>
      </c>
      <c r="I249">
        <v>0.2</v>
      </c>
      <c r="J249">
        <v>1.4E-2</v>
      </c>
      <c r="K249" t="s">
        <v>399</v>
      </c>
    </row>
    <row r="250" spans="1:11" x14ac:dyDescent="0.25">
      <c r="A250" t="s">
        <v>60</v>
      </c>
      <c r="B250" t="s">
        <v>79</v>
      </c>
      <c r="C250" t="s">
        <v>80</v>
      </c>
      <c r="D250">
        <v>0.22</v>
      </c>
      <c r="E250">
        <v>0.1</v>
      </c>
      <c r="F250">
        <v>1.06</v>
      </c>
      <c r="G250">
        <v>1.9E-2</v>
      </c>
      <c r="H250">
        <v>0.3</v>
      </c>
      <c r="I250">
        <v>0.8</v>
      </c>
      <c r="J250">
        <v>1.2E-2</v>
      </c>
      <c r="K250" t="s">
        <v>399</v>
      </c>
    </row>
    <row r="251" spans="1:11" x14ac:dyDescent="0.25">
      <c r="A251" t="s">
        <v>61</v>
      </c>
      <c r="B251" t="s">
        <v>79</v>
      </c>
      <c r="C251" t="s">
        <v>80</v>
      </c>
      <c r="D251">
        <v>0.9</v>
      </c>
      <c r="E251">
        <v>0.3</v>
      </c>
      <c r="F251">
        <v>0</v>
      </c>
      <c r="G251">
        <v>1.4999999999999999E-2</v>
      </c>
      <c r="H251">
        <v>0.3</v>
      </c>
      <c r="I251">
        <v>0.8</v>
      </c>
      <c r="J251">
        <v>1.2E-2</v>
      </c>
      <c r="K251" t="s">
        <v>428</v>
      </c>
    </row>
    <row r="252" spans="1:11" x14ac:dyDescent="0.25">
      <c r="A252" t="s">
        <v>311</v>
      </c>
      <c r="B252" t="s">
        <v>79</v>
      </c>
      <c r="C252" t="s">
        <v>80</v>
      </c>
      <c r="D252">
        <v>0.91</v>
      </c>
      <c r="E252">
        <v>0.93</v>
      </c>
      <c r="F252">
        <v>1.35</v>
      </c>
      <c r="G252">
        <v>8.0000000000000002E-3</v>
      </c>
      <c r="H252">
        <v>2.1</v>
      </c>
      <c r="I252">
        <v>0.19</v>
      </c>
      <c r="J252">
        <v>8.0000000000000002E-3</v>
      </c>
      <c r="K252" t="s">
        <v>409</v>
      </c>
    </row>
    <row r="253" spans="1:11" x14ac:dyDescent="0.25">
      <c r="A253" t="s">
        <v>312</v>
      </c>
      <c r="B253" t="s">
        <v>79</v>
      </c>
      <c r="C253" t="s">
        <v>80</v>
      </c>
      <c r="D253">
        <v>0.91</v>
      </c>
      <c r="E253">
        <v>0.93</v>
      </c>
      <c r="F253">
        <v>1.35</v>
      </c>
      <c r="G253">
        <v>8.0000000000000002E-3</v>
      </c>
      <c r="H253">
        <v>0.4</v>
      </c>
      <c r="I253">
        <v>0.2</v>
      </c>
      <c r="J253">
        <v>1.4E-2</v>
      </c>
      <c r="K253" t="s">
        <v>409</v>
      </c>
    </row>
    <row r="254" spans="1:11" x14ac:dyDescent="0.25">
      <c r="A254" t="s">
        <v>62</v>
      </c>
      <c r="B254" t="s">
        <v>79</v>
      </c>
      <c r="C254" t="s">
        <v>79</v>
      </c>
      <c r="D254">
        <v>0.22</v>
      </c>
      <c r="E254">
        <v>0.1</v>
      </c>
      <c r="F254">
        <v>1.06</v>
      </c>
      <c r="G254">
        <v>1.9E-2</v>
      </c>
      <c r="H254">
        <v>0.4</v>
      </c>
      <c r="I254">
        <v>0.2</v>
      </c>
      <c r="J254">
        <v>1.4E-2</v>
      </c>
      <c r="K254" t="s">
        <v>429</v>
      </c>
    </row>
    <row r="255" spans="1:11" hidden="1" x14ac:dyDescent="0.25">
      <c r="A255" t="s">
        <v>313</v>
      </c>
      <c r="B255" t="s">
        <v>80</v>
      </c>
      <c r="C255" t="s">
        <v>80</v>
      </c>
      <c r="K255" t="s">
        <v>400</v>
      </c>
    </row>
    <row r="256" spans="1:11" x14ac:dyDescent="0.25">
      <c r="A256" t="s">
        <v>314</v>
      </c>
      <c r="B256" t="s">
        <v>79</v>
      </c>
      <c r="C256" t="s">
        <v>80</v>
      </c>
      <c r="D256">
        <v>0.88</v>
      </c>
      <c r="E256">
        <v>1.0900000000000001</v>
      </c>
      <c r="F256">
        <v>0.88</v>
      </c>
      <c r="G256">
        <v>6.0000000000000001E-3</v>
      </c>
      <c r="H256">
        <v>1.3</v>
      </c>
      <c r="I256">
        <v>0.22</v>
      </c>
      <c r="J256">
        <v>8.9999999999999993E-3</v>
      </c>
      <c r="K256" t="s">
        <v>401</v>
      </c>
    </row>
    <row r="257" spans="1:11" x14ac:dyDescent="0.25">
      <c r="A257" t="s">
        <v>315</v>
      </c>
      <c r="B257" t="s">
        <v>79</v>
      </c>
      <c r="C257" t="s">
        <v>80</v>
      </c>
      <c r="D257">
        <v>0.88</v>
      </c>
      <c r="E257">
        <v>1.0900000000000001</v>
      </c>
      <c r="F257">
        <v>0.88</v>
      </c>
      <c r="G257">
        <v>6.0000000000000001E-3</v>
      </c>
      <c r="H257">
        <v>1.3</v>
      </c>
      <c r="I257">
        <v>0.22</v>
      </c>
      <c r="J257">
        <v>8.9999999999999993E-3</v>
      </c>
      <c r="K257" t="s">
        <v>401</v>
      </c>
    </row>
    <row r="258" spans="1:11" x14ac:dyDescent="0.25">
      <c r="A258" t="s">
        <v>316</v>
      </c>
      <c r="B258" t="s">
        <v>79</v>
      </c>
      <c r="C258" t="s">
        <v>80</v>
      </c>
      <c r="D258">
        <v>0.22</v>
      </c>
      <c r="E258">
        <v>0.1</v>
      </c>
      <c r="F258">
        <v>1.06</v>
      </c>
      <c r="G258">
        <v>1.9E-2</v>
      </c>
      <c r="H258">
        <v>0.4</v>
      </c>
      <c r="I258">
        <v>0.2</v>
      </c>
      <c r="J258">
        <v>1.4E-2</v>
      </c>
      <c r="K258" t="s">
        <v>403</v>
      </c>
    </row>
    <row r="259" spans="1:11" x14ac:dyDescent="0.25">
      <c r="A259" t="s">
        <v>317</v>
      </c>
      <c r="B259" t="s">
        <v>79</v>
      </c>
      <c r="C259" t="s">
        <v>79</v>
      </c>
      <c r="D259">
        <v>0.22</v>
      </c>
      <c r="E259">
        <v>0.1</v>
      </c>
      <c r="F259">
        <v>1.06</v>
      </c>
      <c r="G259">
        <v>1.9E-2</v>
      </c>
      <c r="H259">
        <v>0.4</v>
      </c>
      <c r="I259">
        <v>0.2</v>
      </c>
      <c r="J259">
        <v>1.4E-2</v>
      </c>
      <c r="K259" t="s">
        <v>414</v>
      </c>
    </row>
    <row r="260" spans="1:11" x14ac:dyDescent="0.25">
      <c r="A260" t="s">
        <v>318</v>
      </c>
      <c r="B260" t="s">
        <v>79</v>
      </c>
      <c r="C260" t="s">
        <v>79</v>
      </c>
      <c r="D260">
        <v>0.88</v>
      </c>
      <c r="E260">
        <v>1.0900000000000001</v>
      </c>
      <c r="F260">
        <v>0.88</v>
      </c>
      <c r="G260">
        <v>6.0000000000000001E-3</v>
      </c>
      <c r="H260">
        <v>1.3</v>
      </c>
      <c r="I260">
        <v>0.22</v>
      </c>
      <c r="J260">
        <v>8.9999999999999993E-3</v>
      </c>
      <c r="K260" t="s">
        <v>401</v>
      </c>
    </row>
    <row r="261" spans="1:11" x14ac:dyDescent="0.25">
      <c r="A261" t="s">
        <v>319</v>
      </c>
      <c r="B261" t="s">
        <v>79</v>
      </c>
      <c r="C261" t="s">
        <v>79</v>
      </c>
      <c r="D261">
        <v>0.22</v>
      </c>
      <c r="E261">
        <v>0.1</v>
      </c>
      <c r="F261">
        <v>1.06</v>
      </c>
      <c r="G261">
        <v>1.9E-2</v>
      </c>
      <c r="H261">
        <v>1.3</v>
      </c>
      <c r="I261">
        <v>0.22</v>
      </c>
      <c r="J261">
        <v>8.9999999999999993E-3</v>
      </c>
      <c r="K261" t="s">
        <v>404</v>
      </c>
    </row>
    <row r="262" spans="1:11" x14ac:dyDescent="0.25">
      <c r="A262" t="s">
        <v>64</v>
      </c>
      <c r="B262" t="s">
        <v>79</v>
      </c>
      <c r="C262" t="s">
        <v>80</v>
      </c>
      <c r="D262">
        <v>0.88</v>
      </c>
      <c r="E262">
        <v>1.0900000000000001</v>
      </c>
      <c r="F262">
        <v>0.88</v>
      </c>
      <c r="G262">
        <v>6.0000000000000001E-3</v>
      </c>
      <c r="H262">
        <v>1.3</v>
      </c>
      <c r="I262">
        <v>0.22</v>
      </c>
      <c r="J262">
        <v>8.9999999999999993E-3</v>
      </c>
      <c r="K262" t="s">
        <v>430</v>
      </c>
    </row>
    <row r="263" spans="1:11" hidden="1" x14ac:dyDescent="0.25">
      <c r="A263" t="s">
        <v>320</v>
      </c>
      <c r="B263" t="s">
        <v>80</v>
      </c>
      <c r="C263" t="s">
        <v>80</v>
      </c>
      <c r="K263" t="s">
        <v>400</v>
      </c>
    </row>
    <row r="264" spans="1:11" x14ac:dyDescent="0.25">
      <c r="A264" t="s">
        <v>321</v>
      </c>
      <c r="B264" t="s">
        <v>79</v>
      </c>
      <c r="C264" t="s">
        <v>80</v>
      </c>
      <c r="D264">
        <v>0.88</v>
      </c>
      <c r="E264">
        <v>1.0900000000000001</v>
      </c>
      <c r="F264">
        <v>0.88</v>
      </c>
      <c r="G264">
        <v>6.0000000000000001E-3</v>
      </c>
      <c r="H264">
        <v>1.3</v>
      </c>
      <c r="I264">
        <v>0.22</v>
      </c>
      <c r="J264">
        <v>8.9999999999999993E-3</v>
      </c>
      <c r="K264" t="s">
        <v>401</v>
      </c>
    </row>
    <row r="265" spans="1:11" hidden="1" x14ac:dyDescent="0.25">
      <c r="A265" t="s">
        <v>322</v>
      </c>
      <c r="B265" t="s">
        <v>80</v>
      </c>
      <c r="C265" t="s">
        <v>80</v>
      </c>
      <c r="K265" t="s">
        <v>400</v>
      </c>
    </row>
    <row r="266" spans="1:11" x14ac:dyDescent="0.25">
      <c r="A266" t="s">
        <v>323</v>
      </c>
      <c r="B266" t="s">
        <v>79</v>
      </c>
      <c r="C266" t="s">
        <v>80</v>
      </c>
      <c r="D266">
        <v>0.88</v>
      </c>
      <c r="E266">
        <v>1.0900000000000001</v>
      </c>
      <c r="F266">
        <v>0.88</v>
      </c>
      <c r="G266">
        <v>6.0000000000000001E-3</v>
      </c>
      <c r="H266">
        <v>1.3</v>
      </c>
      <c r="I266">
        <v>0.22</v>
      </c>
      <c r="J266">
        <v>8.9999999999999993E-3</v>
      </c>
      <c r="K266" t="s">
        <v>401</v>
      </c>
    </row>
    <row r="267" spans="1:11" x14ac:dyDescent="0.25">
      <c r="A267" t="s">
        <v>324</v>
      </c>
      <c r="B267" t="s">
        <v>79</v>
      </c>
      <c r="C267" t="s">
        <v>80</v>
      </c>
      <c r="D267">
        <v>0.88</v>
      </c>
      <c r="E267">
        <v>1.0900000000000001</v>
      </c>
      <c r="F267">
        <v>0.88</v>
      </c>
      <c r="G267">
        <v>6.0000000000000001E-3</v>
      </c>
      <c r="H267">
        <v>1.3</v>
      </c>
      <c r="I267">
        <v>0.22</v>
      </c>
      <c r="J267">
        <v>8.9999999999999993E-3</v>
      </c>
      <c r="K267" t="s">
        <v>401</v>
      </c>
    </row>
    <row r="268" spans="1:11" x14ac:dyDescent="0.25">
      <c r="A268" t="s">
        <v>325</v>
      </c>
      <c r="B268" t="s">
        <v>79</v>
      </c>
      <c r="C268" t="s">
        <v>80</v>
      </c>
      <c r="D268">
        <v>0.88</v>
      </c>
      <c r="E268">
        <v>1.0900000000000001</v>
      </c>
      <c r="F268">
        <v>0.88</v>
      </c>
      <c r="G268">
        <v>6.0000000000000001E-3</v>
      </c>
      <c r="H268">
        <v>1.3</v>
      </c>
      <c r="I268">
        <v>0.22</v>
      </c>
      <c r="J268">
        <v>8.9999999999999993E-3</v>
      </c>
      <c r="K268" t="s">
        <v>401</v>
      </c>
    </row>
    <row r="269" spans="1:11" x14ac:dyDescent="0.25">
      <c r="A269" t="s">
        <v>326</v>
      </c>
      <c r="B269" t="s">
        <v>79</v>
      </c>
      <c r="C269" t="s">
        <v>80</v>
      </c>
      <c r="D269">
        <v>0.88</v>
      </c>
      <c r="E269">
        <v>1.0900000000000001</v>
      </c>
      <c r="F269">
        <v>0.88</v>
      </c>
      <c r="G269">
        <v>6.0000000000000001E-3</v>
      </c>
      <c r="H269">
        <v>1.3</v>
      </c>
      <c r="I269">
        <v>0.22</v>
      </c>
      <c r="J269">
        <v>8.9999999999999993E-3</v>
      </c>
      <c r="K269" t="s">
        <v>402</v>
      </c>
    </row>
    <row r="270" spans="1:11" x14ac:dyDescent="0.25">
      <c r="A270" t="s">
        <v>327</v>
      </c>
      <c r="B270" t="s">
        <v>79</v>
      </c>
      <c r="C270" t="s">
        <v>80</v>
      </c>
      <c r="D270">
        <v>0.22</v>
      </c>
      <c r="E270">
        <v>0.1</v>
      </c>
      <c r="F270">
        <v>1.06</v>
      </c>
      <c r="G270">
        <v>1.9E-2</v>
      </c>
      <c r="H270">
        <v>1.3</v>
      </c>
      <c r="I270">
        <v>0.255</v>
      </c>
      <c r="J270">
        <v>8.9999999999999993E-3</v>
      </c>
      <c r="K270" t="s">
        <v>403</v>
      </c>
    </row>
    <row r="271" spans="1:11" x14ac:dyDescent="0.25">
      <c r="A271" t="s">
        <v>14</v>
      </c>
      <c r="B271" t="s">
        <v>79</v>
      </c>
      <c r="C271" t="s">
        <v>79</v>
      </c>
      <c r="D271">
        <v>1</v>
      </c>
      <c r="E271">
        <v>1.51</v>
      </c>
      <c r="F271">
        <v>0.52</v>
      </c>
      <c r="G271">
        <v>6.0000000000000001E-3</v>
      </c>
      <c r="H271">
        <v>1.3</v>
      </c>
      <c r="I271">
        <v>0.255</v>
      </c>
      <c r="J271">
        <v>8.9999999999999993E-3</v>
      </c>
      <c r="K271" t="s">
        <v>431</v>
      </c>
    </row>
    <row r="272" spans="1:11" hidden="1" x14ac:dyDescent="0.25">
      <c r="A272" t="s">
        <v>328</v>
      </c>
      <c r="B272" t="s">
        <v>80</v>
      </c>
      <c r="C272" t="s">
        <v>80</v>
      </c>
      <c r="K272" t="s">
        <v>400</v>
      </c>
    </row>
    <row r="273" spans="1:11" hidden="1" x14ac:dyDescent="0.25">
      <c r="A273" t="s">
        <v>329</v>
      </c>
      <c r="B273" t="s">
        <v>80</v>
      </c>
      <c r="C273" t="s">
        <v>80</v>
      </c>
      <c r="K273" t="s">
        <v>400</v>
      </c>
    </row>
    <row r="274" spans="1:11" hidden="1" x14ac:dyDescent="0.25">
      <c r="A274" t="s">
        <v>330</v>
      </c>
      <c r="B274" t="s">
        <v>80</v>
      </c>
      <c r="C274" t="s">
        <v>80</v>
      </c>
      <c r="K274" t="s">
        <v>400</v>
      </c>
    </row>
    <row r="275" spans="1:11" hidden="1" x14ac:dyDescent="0.25">
      <c r="A275" t="s">
        <v>331</v>
      </c>
      <c r="B275" t="s">
        <v>80</v>
      </c>
      <c r="C275" t="s">
        <v>80</v>
      </c>
      <c r="K275" t="s">
        <v>400</v>
      </c>
    </row>
    <row r="276" spans="1:11" hidden="1" x14ac:dyDescent="0.25">
      <c r="A276" t="s">
        <v>332</v>
      </c>
      <c r="B276" t="s">
        <v>80</v>
      </c>
      <c r="C276" t="s">
        <v>80</v>
      </c>
      <c r="K276" t="s">
        <v>400</v>
      </c>
    </row>
    <row r="277" spans="1:11" x14ac:dyDescent="0.25">
      <c r="A277" t="s">
        <v>333</v>
      </c>
      <c r="B277" t="s">
        <v>79</v>
      </c>
      <c r="C277" t="s">
        <v>79</v>
      </c>
      <c r="D277">
        <v>0.88</v>
      </c>
      <c r="E277">
        <v>1.0900000000000001</v>
      </c>
      <c r="F277">
        <v>0.88</v>
      </c>
      <c r="G277">
        <v>6.0000000000000001E-3</v>
      </c>
      <c r="H277">
        <v>1.3</v>
      </c>
      <c r="I277">
        <v>0.22</v>
      </c>
      <c r="J277">
        <v>8.9999999999999993E-3</v>
      </c>
      <c r="K277" t="s">
        <v>401</v>
      </c>
    </row>
    <row r="278" spans="1:11" x14ac:dyDescent="0.25">
      <c r="A278" t="s">
        <v>334</v>
      </c>
      <c r="B278" t="s">
        <v>79</v>
      </c>
      <c r="C278" t="s">
        <v>79</v>
      </c>
      <c r="D278">
        <v>0.88</v>
      </c>
      <c r="E278">
        <v>1.0900000000000001</v>
      </c>
      <c r="F278">
        <v>0.88</v>
      </c>
      <c r="G278">
        <v>6.0000000000000001E-3</v>
      </c>
      <c r="H278">
        <v>1.3</v>
      </c>
      <c r="I278">
        <v>0.22</v>
      </c>
      <c r="J278">
        <v>8.9999999999999993E-3</v>
      </c>
      <c r="K278" t="s">
        <v>401</v>
      </c>
    </row>
    <row r="279" spans="1:11" x14ac:dyDescent="0.25">
      <c r="A279" t="s">
        <v>335</v>
      </c>
      <c r="B279" t="s">
        <v>79</v>
      </c>
      <c r="C279" t="s">
        <v>80</v>
      </c>
      <c r="D279">
        <v>0.22</v>
      </c>
      <c r="E279">
        <v>0.1</v>
      </c>
      <c r="F279">
        <v>1.06</v>
      </c>
      <c r="G279">
        <v>1.9E-2</v>
      </c>
      <c r="H279">
        <v>0.4</v>
      </c>
      <c r="I279">
        <v>0.2</v>
      </c>
      <c r="J279">
        <v>1.4E-2</v>
      </c>
      <c r="K279" t="s">
        <v>414</v>
      </c>
    </row>
    <row r="280" spans="1:11" hidden="1" x14ac:dyDescent="0.25">
      <c r="A280" t="s">
        <v>336</v>
      </c>
      <c r="B280" t="s">
        <v>80</v>
      </c>
      <c r="C280" t="s">
        <v>80</v>
      </c>
      <c r="K280" t="s">
        <v>400</v>
      </c>
    </row>
    <row r="281" spans="1:11" hidden="1" x14ac:dyDescent="0.25">
      <c r="A281" t="s">
        <v>337</v>
      </c>
      <c r="B281" t="s">
        <v>80</v>
      </c>
      <c r="C281" t="s">
        <v>80</v>
      </c>
      <c r="K281" t="s">
        <v>400</v>
      </c>
    </row>
    <row r="282" spans="1:11" hidden="1" x14ac:dyDescent="0.25">
      <c r="A282" t="s">
        <v>338</v>
      </c>
      <c r="B282" t="s">
        <v>80</v>
      </c>
      <c r="C282" t="s">
        <v>80</v>
      </c>
      <c r="K282" t="s">
        <v>400</v>
      </c>
    </row>
    <row r="283" spans="1:11" hidden="1" x14ac:dyDescent="0.25">
      <c r="A283" t="s">
        <v>339</v>
      </c>
      <c r="B283" t="s">
        <v>80</v>
      </c>
      <c r="C283" t="s">
        <v>80</v>
      </c>
      <c r="K283" t="s">
        <v>400</v>
      </c>
    </row>
    <row r="284" spans="1:11" hidden="1" x14ac:dyDescent="0.25">
      <c r="A284" t="s">
        <v>340</v>
      </c>
      <c r="B284" t="s">
        <v>80</v>
      </c>
      <c r="C284" t="s">
        <v>80</v>
      </c>
      <c r="K284" t="s">
        <v>400</v>
      </c>
    </row>
    <row r="285" spans="1:11" hidden="1" x14ac:dyDescent="0.25">
      <c r="A285" t="s">
        <v>341</v>
      </c>
      <c r="B285" t="s">
        <v>80</v>
      </c>
      <c r="C285" t="s">
        <v>80</v>
      </c>
      <c r="K285" t="s">
        <v>400</v>
      </c>
    </row>
    <row r="286" spans="1:11" x14ac:dyDescent="0.25">
      <c r="A286" t="s">
        <v>342</v>
      </c>
      <c r="B286" t="s">
        <v>79</v>
      </c>
      <c r="C286" t="s">
        <v>79</v>
      </c>
      <c r="D286">
        <v>0.88</v>
      </c>
      <c r="E286">
        <v>1.0900000000000001</v>
      </c>
      <c r="F286">
        <v>0.88</v>
      </c>
      <c r="G286">
        <v>6.0000000000000001E-3</v>
      </c>
      <c r="H286">
        <v>1.3</v>
      </c>
      <c r="I286">
        <v>0.22</v>
      </c>
      <c r="J286">
        <v>8.9999999999999993E-3</v>
      </c>
      <c r="K286" t="s">
        <v>401</v>
      </c>
    </row>
    <row r="287" spans="1:11" hidden="1" x14ac:dyDescent="0.25">
      <c r="A287" t="s">
        <v>343</v>
      </c>
      <c r="B287" t="s">
        <v>80</v>
      </c>
      <c r="C287" t="s">
        <v>80</v>
      </c>
      <c r="K287" t="s">
        <v>400</v>
      </c>
    </row>
    <row r="288" spans="1:11" x14ac:dyDescent="0.25">
      <c r="A288" t="s">
        <v>344</v>
      </c>
      <c r="B288" t="s">
        <v>79</v>
      </c>
      <c r="C288" t="s">
        <v>79</v>
      </c>
      <c r="D288">
        <v>0.88</v>
      </c>
      <c r="E288">
        <v>1.0900000000000001</v>
      </c>
      <c r="F288">
        <v>0.88</v>
      </c>
      <c r="G288">
        <v>6.0000000000000001E-3</v>
      </c>
      <c r="H288">
        <v>1.3</v>
      </c>
      <c r="I288">
        <v>0.22</v>
      </c>
      <c r="J288">
        <v>8.9999999999999993E-3</v>
      </c>
      <c r="K288" t="s">
        <v>401</v>
      </c>
    </row>
    <row r="289" spans="1:11" hidden="1" x14ac:dyDescent="0.25">
      <c r="A289" t="s">
        <v>345</v>
      </c>
      <c r="B289" t="s">
        <v>80</v>
      </c>
      <c r="C289" t="s">
        <v>80</v>
      </c>
      <c r="K289" t="s">
        <v>400</v>
      </c>
    </row>
    <row r="290" spans="1:11" hidden="1" x14ac:dyDescent="0.25">
      <c r="A290" t="s">
        <v>346</v>
      </c>
      <c r="B290" t="s">
        <v>80</v>
      </c>
      <c r="C290" t="s">
        <v>80</v>
      </c>
      <c r="K290" t="s">
        <v>400</v>
      </c>
    </row>
    <row r="291" spans="1:11" hidden="1" x14ac:dyDescent="0.25">
      <c r="A291" t="s">
        <v>347</v>
      </c>
      <c r="B291" t="s">
        <v>80</v>
      </c>
      <c r="C291" t="s">
        <v>80</v>
      </c>
      <c r="K291" t="s">
        <v>400</v>
      </c>
    </row>
    <row r="292" spans="1:11" x14ac:dyDescent="0.25">
      <c r="A292" t="s">
        <v>348</v>
      </c>
      <c r="B292" t="s">
        <v>79</v>
      </c>
      <c r="C292" t="s">
        <v>79</v>
      </c>
      <c r="D292">
        <v>0.88</v>
      </c>
      <c r="E292">
        <v>1.0900000000000001</v>
      </c>
      <c r="F292">
        <v>0.88</v>
      </c>
      <c r="G292">
        <v>6.0000000000000001E-3</v>
      </c>
      <c r="H292">
        <v>1.3</v>
      </c>
      <c r="I292">
        <v>0.22</v>
      </c>
      <c r="J292">
        <v>8.9999999999999993E-3</v>
      </c>
      <c r="K292" t="s">
        <v>401</v>
      </c>
    </row>
    <row r="293" spans="1:11" hidden="1" x14ac:dyDescent="0.25">
      <c r="A293" t="s">
        <v>349</v>
      </c>
      <c r="B293" t="s">
        <v>80</v>
      </c>
      <c r="C293" t="s">
        <v>80</v>
      </c>
      <c r="K293" t="s">
        <v>400</v>
      </c>
    </row>
    <row r="294" spans="1:11" hidden="1" x14ac:dyDescent="0.25">
      <c r="A294" t="s">
        <v>350</v>
      </c>
      <c r="B294" t="s">
        <v>80</v>
      </c>
      <c r="C294" t="s">
        <v>80</v>
      </c>
      <c r="K294" t="s">
        <v>400</v>
      </c>
    </row>
    <row r="295" spans="1:11" hidden="1" x14ac:dyDescent="0.25">
      <c r="A295" t="s">
        <v>351</v>
      </c>
      <c r="B295" t="s">
        <v>80</v>
      </c>
      <c r="C295" t="s">
        <v>80</v>
      </c>
      <c r="K295" t="s">
        <v>400</v>
      </c>
    </row>
    <row r="296" spans="1:11" hidden="1" x14ac:dyDescent="0.25">
      <c r="A296" t="s">
        <v>352</v>
      </c>
      <c r="B296" t="s">
        <v>80</v>
      </c>
      <c r="C296" t="s">
        <v>80</v>
      </c>
      <c r="K296" t="s">
        <v>400</v>
      </c>
    </row>
    <row r="297" spans="1:11" x14ac:dyDescent="0.25">
      <c r="A297" t="s">
        <v>353</v>
      </c>
      <c r="B297" t="s">
        <v>79</v>
      </c>
      <c r="C297" t="s">
        <v>79</v>
      </c>
      <c r="D297">
        <v>0.88</v>
      </c>
      <c r="E297">
        <v>1.0900000000000001</v>
      </c>
      <c r="F297">
        <v>0.88</v>
      </c>
      <c r="G297">
        <v>6.0000000000000001E-3</v>
      </c>
      <c r="H297">
        <v>1.3</v>
      </c>
      <c r="I297">
        <v>0.22</v>
      </c>
      <c r="J297">
        <v>8.9999999999999993E-3</v>
      </c>
      <c r="K297" t="s">
        <v>401</v>
      </c>
    </row>
    <row r="298" spans="1:11" hidden="1" x14ac:dyDescent="0.25">
      <c r="A298" t="s">
        <v>354</v>
      </c>
      <c r="B298" t="s">
        <v>80</v>
      </c>
      <c r="C298" t="s">
        <v>80</v>
      </c>
      <c r="K298" t="s">
        <v>400</v>
      </c>
    </row>
    <row r="299" spans="1:11" x14ac:dyDescent="0.25">
      <c r="A299" t="s">
        <v>355</v>
      </c>
      <c r="B299" t="s">
        <v>79</v>
      </c>
      <c r="C299" t="s">
        <v>79</v>
      </c>
      <c r="D299">
        <v>0.88</v>
      </c>
      <c r="E299">
        <v>1.0900000000000001</v>
      </c>
      <c r="F299">
        <v>0.88</v>
      </c>
      <c r="G299">
        <v>6.0000000000000001E-3</v>
      </c>
      <c r="H299">
        <v>1.3</v>
      </c>
      <c r="I299">
        <v>0.22</v>
      </c>
      <c r="J299">
        <v>8.9999999999999993E-3</v>
      </c>
      <c r="K299" t="s">
        <v>401</v>
      </c>
    </row>
    <row r="300" spans="1:11" hidden="1" x14ac:dyDescent="0.25">
      <c r="A300" t="s">
        <v>356</v>
      </c>
      <c r="B300" t="s">
        <v>80</v>
      </c>
      <c r="C300" t="s">
        <v>80</v>
      </c>
      <c r="K300" t="s">
        <v>400</v>
      </c>
    </row>
    <row r="301" spans="1:11" x14ac:dyDescent="0.25">
      <c r="A301" t="s">
        <v>357</v>
      </c>
      <c r="B301" t="s">
        <v>79</v>
      </c>
      <c r="C301" t="s">
        <v>79</v>
      </c>
      <c r="D301">
        <v>0.88</v>
      </c>
      <c r="E301">
        <v>1.0900000000000001</v>
      </c>
      <c r="F301">
        <v>0.88</v>
      </c>
      <c r="G301">
        <v>6.0000000000000001E-3</v>
      </c>
      <c r="H301">
        <v>1.3</v>
      </c>
      <c r="I301">
        <v>0.22</v>
      </c>
      <c r="J301">
        <v>8.9999999999999993E-3</v>
      </c>
      <c r="K301" t="s">
        <v>401</v>
      </c>
    </row>
    <row r="302" spans="1:11" hidden="1" x14ac:dyDescent="0.25">
      <c r="A302" t="s">
        <v>358</v>
      </c>
      <c r="B302" t="s">
        <v>80</v>
      </c>
      <c r="C302" t="s">
        <v>80</v>
      </c>
      <c r="K302" t="s">
        <v>400</v>
      </c>
    </row>
    <row r="303" spans="1:11" hidden="1" x14ac:dyDescent="0.25">
      <c r="A303" t="s">
        <v>359</v>
      </c>
      <c r="B303" t="s">
        <v>80</v>
      </c>
      <c r="C303" t="s">
        <v>80</v>
      </c>
      <c r="K303" t="s">
        <v>400</v>
      </c>
    </row>
    <row r="304" spans="1:11" hidden="1" x14ac:dyDescent="0.25">
      <c r="A304" t="s">
        <v>360</v>
      </c>
      <c r="B304" t="s">
        <v>80</v>
      </c>
      <c r="C304" t="s">
        <v>80</v>
      </c>
      <c r="K304" t="s">
        <v>400</v>
      </c>
    </row>
    <row r="305" spans="1:11" x14ac:dyDescent="0.25">
      <c r="A305" t="s">
        <v>361</v>
      </c>
      <c r="B305" t="s">
        <v>79</v>
      </c>
      <c r="C305" t="s">
        <v>79</v>
      </c>
      <c r="D305">
        <v>0.88</v>
      </c>
      <c r="E305">
        <v>1.0900000000000001</v>
      </c>
      <c r="F305">
        <v>0.88</v>
      </c>
      <c r="G305">
        <v>6.0000000000000001E-3</v>
      </c>
      <c r="H305">
        <v>1.3</v>
      </c>
      <c r="I305">
        <v>0.22</v>
      </c>
      <c r="J305">
        <v>8.9999999999999993E-3</v>
      </c>
      <c r="K305" t="s">
        <v>401</v>
      </c>
    </row>
    <row r="306" spans="1:11" hidden="1" x14ac:dyDescent="0.25">
      <c r="A306" t="s">
        <v>362</v>
      </c>
      <c r="B306" t="s">
        <v>80</v>
      </c>
      <c r="C306" t="s">
        <v>80</v>
      </c>
      <c r="J306">
        <v>8.9999999999999993E-3</v>
      </c>
      <c r="K306" t="s">
        <v>401</v>
      </c>
    </row>
    <row r="307" spans="1:11" hidden="1" x14ac:dyDescent="0.25">
      <c r="A307" t="s">
        <v>363</v>
      </c>
      <c r="B307" t="s">
        <v>80</v>
      </c>
      <c r="C307" t="s">
        <v>80</v>
      </c>
      <c r="K307" t="s">
        <v>400</v>
      </c>
    </row>
    <row r="308" spans="1:11" hidden="1" x14ac:dyDescent="0.25">
      <c r="A308" t="s">
        <v>364</v>
      </c>
      <c r="B308" t="s">
        <v>80</v>
      </c>
      <c r="C308" t="s">
        <v>80</v>
      </c>
      <c r="K308" t="s">
        <v>400</v>
      </c>
    </row>
    <row r="309" spans="1:11" hidden="1" x14ac:dyDescent="0.25">
      <c r="A309" t="s">
        <v>365</v>
      </c>
      <c r="B309" t="s">
        <v>80</v>
      </c>
      <c r="C309" t="s">
        <v>80</v>
      </c>
      <c r="K309" t="s">
        <v>400</v>
      </c>
    </row>
    <row r="310" spans="1:11" hidden="1" x14ac:dyDescent="0.25">
      <c r="A310" t="s">
        <v>366</v>
      </c>
      <c r="B310" t="s">
        <v>80</v>
      </c>
      <c r="C310" t="s">
        <v>80</v>
      </c>
      <c r="K310" t="s">
        <v>400</v>
      </c>
    </row>
    <row r="311" spans="1:11" hidden="1" x14ac:dyDescent="0.25">
      <c r="A311" t="s">
        <v>367</v>
      </c>
      <c r="B311" t="s">
        <v>80</v>
      </c>
      <c r="C311" t="s">
        <v>80</v>
      </c>
      <c r="K311" t="s">
        <v>400</v>
      </c>
    </row>
    <row r="312" spans="1:11" hidden="1" x14ac:dyDescent="0.25">
      <c r="A312" t="s">
        <v>368</v>
      </c>
      <c r="B312" t="s">
        <v>80</v>
      </c>
      <c r="C312" t="s">
        <v>80</v>
      </c>
      <c r="K312" t="s">
        <v>400</v>
      </c>
    </row>
    <row r="313" spans="1:11" hidden="1" x14ac:dyDescent="0.25">
      <c r="A313" t="s">
        <v>369</v>
      </c>
      <c r="B313" t="s">
        <v>80</v>
      </c>
      <c r="C313" t="s">
        <v>80</v>
      </c>
      <c r="K313" t="s">
        <v>400</v>
      </c>
    </row>
    <row r="314" spans="1:11" hidden="1" x14ac:dyDescent="0.25">
      <c r="A314" t="s">
        <v>370</v>
      </c>
      <c r="B314" t="s">
        <v>80</v>
      </c>
      <c r="C314" t="s">
        <v>80</v>
      </c>
      <c r="K314" t="s">
        <v>400</v>
      </c>
    </row>
    <row r="315" spans="1:11" hidden="1" x14ac:dyDescent="0.25">
      <c r="A315" t="s">
        <v>371</v>
      </c>
      <c r="B315" t="s">
        <v>80</v>
      </c>
      <c r="C315" t="s">
        <v>80</v>
      </c>
      <c r="K315" t="s">
        <v>400</v>
      </c>
    </row>
    <row r="316" spans="1:11" hidden="1" x14ac:dyDescent="0.25">
      <c r="A316" t="s">
        <v>372</v>
      </c>
      <c r="B316" t="s">
        <v>80</v>
      </c>
      <c r="C316" t="s">
        <v>80</v>
      </c>
      <c r="K316" t="s">
        <v>400</v>
      </c>
    </row>
    <row r="317" spans="1:11" hidden="1" x14ac:dyDescent="0.25">
      <c r="A317" t="s">
        <v>373</v>
      </c>
      <c r="B317" t="s">
        <v>80</v>
      </c>
      <c r="C317" t="s">
        <v>80</v>
      </c>
      <c r="K317" t="s">
        <v>400</v>
      </c>
    </row>
    <row r="318" spans="1:11" hidden="1" x14ac:dyDescent="0.25">
      <c r="A318" t="s">
        <v>374</v>
      </c>
      <c r="B318" t="s">
        <v>80</v>
      </c>
      <c r="C318" t="s">
        <v>80</v>
      </c>
      <c r="K318" t="s">
        <v>400</v>
      </c>
    </row>
    <row r="319" spans="1:11" hidden="1" x14ac:dyDescent="0.25">
      <c r="A319" t="s">
        <v>375</v>
      </c>
      <c r="B319" t="s">
        <v>80</v>
      </c>
      <c r="C319" t="s">
        <v>80</v>
      </c>
      <c r="K319" t="s">
        <v>400</v>
      </c>
    </row>
    <row r="320" spans="1:11" hidden="1" x14ac:dyDescent="0.25">
      <c r="A320" t="s">
        <v>376</v>
      </c>
      <c r="B320" t="s">
        <v>80</v>
      </c>
      <c r="C320" t="s">
        <v>80</v>
      </c>
      <c r="K320" t="s">
        <v>400</v>
      </c>
    </row>
    <row r="321" spans="1:11" hidden="1" x14ac:dyDescent="0.25">
      <c r="A321" t="s">
        <v>377</v>
      </c>
      <c r="B321" t="s">
        <v>80</v>
      </c>
      <c r="C321" t="s">
        <v>80</v>
      </c>
      <c r="K321" t="s">
        <v>400</v>
      </c>
    </row>
    <row r="322" spans="1:11" hidden="1" x14ac:dyDescent="0.25">
      <c r="A322" t="s">
        <v>378</v>
      </c>
      <c r="B322" t="s">
        <v>80</v>
      </c>
      <c r="C322" t="s">
        <v>80</v>
      </c>
      <c r="K322" t="s">
        <v>400</v>
      </c>
    </row>
    <row r="323" spans="1:11" hidden="1" x14ac:dyDescent="0.25">
      <c r="A323" t="s">
        <v>379</v>
      </c>
      <c r="B323" t="s">
        <v>80</v>
      </c>
      <c r="C323" t="s">
        <v>80</v>
      </c>
      <c r="K323" t="s">
        <v>400</v>
      </c>
    </row>
    <row r="324" spans="1:11" hidden="1" x14ac:dyDescent="0.25">
      <c r="A324" t="s">
        <v>380</v>
      </c>
      <c r="B324" t="s">
        <v>80</v>
      </c>
      <c r="C324" t="s">
        <v>80</v>
      </c>
      <c r="K324" t="s">
        <v>400</v>
      </c>
    </row>
    <row r="325" spans="1:11" hidden="1" x14ac:dyDescent="0.25">
      <c r="A325" t="s">
        <v>381</v>
      </c>
      <c r="B325" t="s">
        <v>80</v>
      </c>
      <c r="C325" t="s">
        <v>80</v>
      </c>
      <c r="K325" t="s">
        <v>400</v>
      </c>
    </row>
    <row r="326" spans="1:11" hidden="1" x14ac:dyDescent="0.25">
      <c r="A326" t="s">
        <v>382</v>
      </c>
      <c r="B326" t="s">
        <v>80</v>
      </c>
      <c r="C326" t="s">
        <v>80</v>
      </c>
      <c r="K326" t="s">
        <v>400</v>
      </c>
    </row>
    <row r="327" spans="1:11" hidden="1" x14ac:dyDescent="0.25">
      <c r="A327" t="s">
        <v>383</v>
      </c>
      <c r="B327" t="s">
        <v>80</v>
      </c>
      <c r="C327" t="s">
        <v>80</v>
      </c>
      <c r="K327" t="s">
        <v>400</v>
      </c>
    </row>
    <row r="328" spans="1:11" hidden="1" x14ac:dyDescent="0.25">
      <c r="A328" t="s">
        <v>384</v>
      </c>
      <c r="B328" t="s">
        <v>80</v>
      </c>
      <c r="C328" t="s">
        <v>80</v>
      </c>
      <c r="K328" t="s">
        <v>400</v>
      </c>
    </row>
    <row r="329" spans="1:11" hidden="1" x14ac:dyDescent="0.25">
      <c r="A329" t="s">
        <v>385</v>
      </c>
      <c r="B329" t="s">
        <v>80</v>
      </c>
      <c r="C329" t="s">
        <v>80</v>
      </c>
      <c r="K329" t="s">
        <v>400</v>
      </c>
    </row>
    <row r="330" spans="1:11" hidden="1" x14ac:dyDescent="0.25">
      <c r="A330" t="s">
        <v>386</v>
      </c>
      <c r="B330" t="s">
        <v>80</v>
      </c>
      <c r="C330" t="s">
        <v>80</v>
      </c>
      <c r="K330" t="s">
        <v>400</v>
      </c>
    </row>
    <row r="331" spans="1:11" hidden="1" x14ac:dyDescent="0.25">
      <c r="A331" t="s">
        <v>387</v>
      </c>
      <c r="B331" t="s">
        <v>80</v>
      </c>
      <c r="C331" t="s">
        <v>80</v>
      </c>
      <c r="K331" t="s">
        <v>400</v>
      </c>
    </row>
    <row r="332" spans="1:11" hidden="1" x14ac:dyDescent="0.25">
      <c r="A332" t="s">
        <v>388</v>
      </c>
      <c r="B332" t="s">
        <v>80</v>
      </c>
      <c r="C332" t="s">
        <v>80</v>
      </c>
      <c r="K332" t="s">
        <v>400</v>
      </c>
    </row>
    <row r="333" spans="1:11" hidden="1" x14ac:dyDescent="0.25">
      <c r="A333" t="s">
        <v>389</v>
      </c>
      <c r="B333" t="s">
        <v>80</v>
      </c>
      <c r="C333" t="s">
        <v>80</v>
      </c>
      <c r="K333" t="s">
        <v>400</v>
      </c>
    </row>
    <row r="334" spans="1:11" hidden="1" x14ac:dyDescent="0.25">
      <c r="B334" t="s">
        <v>80</v>
      </c>
      <c r="C334" t="s">
        <v>80</v>
      </c>
      <c r="K334" t="s">
        <v>400</v>
      </c>
    </row>
  </sheetData>
  <autoFilter ref="A1:K334" xr:uid="{394431BA-71AD-4BD7-AFA6-E9329F158062}">
    <filterColumn colId="1">
      <filters>
        <filter val="YE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175C-B08E-42DF-A7DC-2892E8B8F7F5}">
  <dimension ref="A1:E145"/>
  <sheetViews>
    <sheetView tabSelected="1" topLeftCell="A64" workbookViewId="0">
      <selection activeCell="G122" sqref="G122"/>
    </sheetView>
  </sheetViews>
  <sheetFormatPr defaultRowHeight="15" x14ac:dyDescent="0.25"/>
  <cols>
    <col min="1" max="1" width="27.7109375" customWidth="1"/>
    <col min="2" max="2" width="35.5703125" hidden="1" customWidth="1"/>
    <col min="3" max="3" width="22.85546875" hidden="1" customWidth="1"/>
    <col min="4" max="4" width="32.42578125" customWidth="1"/>
    <col min="5" max="5" width="27.28515625" customWidth="1"/>
  </cols>
  <sheetData>
    <row r="1" spans="1:5" x14ac:dyDescent="0.25">
      <c r="A1" t="s">
        <v>390</v>
      </c>
      <c r="B1" t="s">
        <v>76</v>
      </c>
      <c r="C1" t="s">
        <v>77</v>
      </c>
      <c r="D1" t="s">
        <v>432</v>
      </c>
      <c r="E1" t="s">
        <v>433</v>
      </c>
    </row>
    <row r="2" spans="1:5" x14ac:dyDescent="0.25">
      <c r="A2" t="s">
        <v>6</v>
      </c>
      <c r="B2" t="s">
        <v>79</v>
      </c>
      <c r="C2" t="s">
        <v>79</v>
      </c>
      <c r="D2" t="s">
        <v>79</v>
      </c>
      <c r="E2" t="s">
        <v>79</v>
      </c>
    </row>
    <row r="3" spans="1:5" x14ac:dyDescent="0.25">
      <c r="A3" t="s">
        <v>78</v>
      </c>
      <c r="B3" t="s">
        <v>79</v>
      </c>
      <c r="C3" t="s">
        <v>80</v>
      </c>
      <c r="D3" t="s">
        <v>80</v>
      </c>
      <c r="E3" t="s">
        <v>79</v>
      </c>
    </row>
    <row r="4" spans="1:5" x14ac:dyDescent="0.25">
      <c r="A4" t="s">
        <v>82</v>
      </c>
      <c r="B4" t="s">
        <v>79</v>
      </c>
      <c r="C4" t="s">
        <v>79</v>
      </c>
      <c r="D4" t="s">
        <v>80</v>
      </c>
      <c r="E4" t="s">
        <v>79</v>
      </c>
    </row>
    <row r="5" spans="1:5" x14ac:dyDescent="0.25">
      <c r="A5" t="s">
        <v>83</v>
      </c>
      <c r="B5" t="s">
        <v>79</v>
      </c>
      <c r="C5" t="s">
        <v>80</v>
      </c>
      <c r="D5" t="s">
        <v>79</v>
      </c>
      <c r="E5" t="s">
        <v>80</v>
      </c>
    </row>
    <row r="6" spans="1:5" x14ac:dyDescent="0.25">
      <c r="A6" t="s">
        <v>84</v>
      </c>
      <c r="B6" t="s">
        <v>79</v>
      </c>
      <c r="C6" t="s">
        <v>80</v>
      </c>
      <c r="D6" t="s">
        <v>80</v>
      </c>
      <c r="E6" t="s">
        <v>79</v>
      </c>
    </row>
    <row r="7" spans="1:5" x14ac:dyDescent="0.25">
      <c r="A7" t="s">
        <v>85</v>
      </c>
      <c r="B7" t="s">
        <v>79</v>
      </c>
      <c r="C7" t="s">
        <v>80</v>
      </c>
      <c r="D7" t="s">
        <v>80</v>
      </c>
      <c r="E7" t="s">
        <v>79</v>
      </c>
    </row>
    <row r="8" spans="1:5" x14ac:dyDescent="0.25">
      <c r="A8" t="s">
        <v>86</v>
      </c>
      <c r="B8" t="s">
        <v>79</v>
      </c>
      <c r="C8" t="s">
        <v>80</v>
      </c>
      <c r="D8" t="s">
        <v>80</v>
      </c>
      <c r="E8" t="s">
        <v>79</v>
      </c>
    </row>
    <row r="9" spans="1:5" x14ac:dyDescent="0.25">
      <c r="A9" t="s">
        <v>87</v>
      </c>
      <c r="B9" t="s">
        <v>79</v>
      </c>
      <c r="C9" t="s">
        <v>80</v>
      </c>
      <c r="D9" t="s">
        <v>79</v>
      </c>
      <c r="E9" t="s">
        <v>80</v>
      </c>
    </row>
    <row r="10" spans="1:5" x14ac:dyDescent="0.25">
      <c r="A10" t="s">
        <v>88</v>
      </c>
      <c r="B10" t="s">
        <v>79</v>
      </c>
      <c r="C10" t="s">
        <v>80</v>
      </c>
      <c r="D10" t="s">
        <v>79</v>
      </c>
      <c r="E10" t="s">
        <v>80</v>
      </c>
    </row>
    <row r="11" spans="1:5" x14ac:dyDescent="0.25">
      <c r="A11" t="s">
        <v>90</v>
      </c>
      <c r="B11" t="s">
        <v>79</v>
      </c>
      <c r="C11" t="s">
        <v>79</v>
      </c>
      <c r="D11" t="s">
        <v>80</v>
      </c>
      <c r="E11" t="s">
        <v>79</v>
      </c>
    </row>
    <row r="12" spans="1:5" x14ac:dyDescent="0.25">
      <c r="A12" t="s">
        <v>92</v>
      </c>
      <c r="B12" t="s">
        <v>79</v>
      </c>
      <c r="C12" t="s">
        <v>80</v>
      </c>
      <c r="D12" t="s">
        <v>79</v>
      </c>
      <c r="E12" t="s">
        <v>80</v>
      </c>
    </row>
    <row r="13" spans="1:5" x14ac:dyDescent="0.25">
      <c r="A13" t="s">
        <v>93</v>
      </c>
      <c r="B13" t="s">
        <v>79</v>
      </c>
      <c r="C13" t="s">
        <v>80</v>
      </c>
      <c r="D13" t="s">
        <v>80</v>
      </c>
      <c r="E13" t="s">
        <v>79</v>
      </c>
    </row>
    <row r="14" spans="1:5" x14ac:dyDescent="0.25">
      <c r="A14" t="s">
        <v>18</v>
      </c>
      <c r="B14" t="s">
        <v>79</v>
      </c>
      <c r="C14" t="s">
        <v>80</v>
      </c>
      <c r="D14" t="s">
        <v>79</v>
      </c>
      <c r="E14" t="s">
        <v>80</v>
      </c>
    </row>
    <row r="15" spans="1:5" x14ac:dyDescent="0.25">
      <c r="A15" t="s">
        <v>39</v>
      </c>
      <c r="B15" t="s">
        <v>79</v>
      </c>
      <c r="C15" t="s">
        <v>79</v>
      </c>
      <c r="D15" t="s">
        <v>79</v>
      </c>
      <c r="E15" t="s">
        <v>80</v>
      </c>
    </row>
    <row r="16" spans="1:5" x14ac:dyDescent="0.25">
      <c r="A16" t="s">
        <v>97</v>
      </c>
      <c r="B16" t="s">
        <v>79</v>
      </c>
      <c r="C16" t="s">
        <v>80</v>
      </c>
      <c r="D16" t="s">
        <v>80</v>
      </c>
      <c r="E16" t="s">
        <v>79</v>
      </c>
    </row>
    <row r="17" spans="1:5" x14ac:dyDescent="0.25">
      <c r="A17" t="s">
        <v>98</v>
      </c>
      <c r="B17" t="s">
        <v>79</v>
      </c>
      <c r="C17" t="s">
        <v>80</v>
      </c>
      <c r="D17" t="s">
        <v>80</v>
      </c>
      <c r="E17" t="s">
        <v>79</v>
      </c>
    </row>
    <row r="18" spans="1:5" x14ac:dyDescent="0.25">
      <c r="A18" t="s">
        <v>41</v>
      </c>
      <c r="B18" t="s">
        <v>79</v>
      </c>
      <c r="C18" t="s">
        <v>79</v>
      </c>
      <c r="D18" t="s">
        <v>79</v>
      </c>
      <c r="E18" t="s">
        <v>80</v>
      </c>
    </row>
    <row r="19" spans="1:5" x14ac:dyDescent="0.25">
      <c r="A19" t="s">
        <v>108</v>
      </c>
      <c r="B19" t="s">
        <v>79</v>
      </c>
      <c r="C19" t="s">
        <v>80</v>
      </c>
      <c r="D19" t="s">
        <v>79</v>
      </c>
      <c r="E19" t="s">
        <v>80</v>
      </c>
    </row>
    <row r="20" spans="1:5" x14ac:dyDescent="0.25">
      <c r="A20" t="s">
        <v>110</v>
      </c>
      <c r="B20" t="s">
        <v>79</v>
      </c>
      <c r="C20" t="s">
        <v>80</v>
      </c>
      <c r="D20" t="s">
        <v>79</v>
      </c>
      <c r="E20" t="s">
        <v>80</v>
      </c>
    </row>
    <row r="21" spans="1:5" x14ac:dyDescent="0.25">
      <c r="A21" t="s">
        <v>111</v>
      </c>
      <c r="B21" t="s">
        <v>79</v>
      </c>
      <c r="C21" t="s">
        <v>80</v>
      </c>
      <c r="D21" t="s">
        <v>79</v>
      </c>
      <c r="E21" t="s">
        <v>80</v>
      </c>
    </row>
    <row r="22" spans="1:5" x14ac:dyDescent="0.25">
      <c r="A22" t="s">
        <v>42</v>
      </c>
      <c r="B22" t="s">
        <v>79</v>
      </c>
      <c r="C22" t="s">
        <v>80</v>
      </c>
      <c r="D22" t="s">
        <v>79</v>
      </c>
      <c r="E22" t="s">
        <v>80</v>
      </c>
    </row>
    <row r="23" spans="1:5" x14ac:dyDescent="0.25">
      <c r="A23" t="s">
        <v>112</v>
      </c>
      <c r="B23" t="s">
        <v>79</v>
      </c>
      <c r="C23" t="s">
        <v>79</v>
      </c>
      <c r="D23" t="s">
        <v>80</v>
      </c>
      <c r="E23" t="s">
        <v>79</v>
      </c>
    </row>
    <row r="24" spans="1:5" x14ac:dyDescent="0.25">
      <c r="A24" t="s">
        <v>115</v>
      </c>
      <c r="B24" t="s">
        <v>79</v>
      </c>
      <c r="C24" t="s">
        <v>79</v>
      </c>
      <c r="D24" t="s">
        <v>79</v>
      </c>
      <c r="E24" t="s">
        <v>80</v>
      </c>
    </row>
    <row r="25" spans="1:5" x14ac:dyDescent="0.25">
      <c r="A25" t="s">
        <v>116</v>
      </c>
      <c r="B25" t="s">
        <v>79</v>
      </c>
      <c r="C25" t="s">
        <v>80</v>
      </c>
      <c r="D25" t="s">
        <v>79</v>
      </c>
      <c r="E25" t="s">
        <v>80</v>
      </c>
    </row>
    <row r="26" spans="1:5" x14ac:dyDescent="0.25">
      <c r="A26" t="s">
        <v>119</v>
      </c>
      <c r="B26" t="s">
        <v>79</v>
      </c>
      <c r="C26" t="s">
        <v>80</v>
      </c>
      <c r="D26" t="s">
        <v>79</v>
      </c>
      <c r="E26" t="s">
        <v>80</v>
      </c>
    </row>
    <row r="27" spans="1:5" x14ac:dyDescent="0.25">
      <c r="A27" t="s">
        <v>120</v>
      </c>
      <c r="B27" t="s">
        <v>79</v>
      </c>
      <c r="C27" t="s">
        <v>79</v>
      </c>
      <c r="D27" t="s">
        <v>79</v>
      </c>
      <c r="E27" t="s">
        <v>80</v>
      </c>
    </row>
    <row r="28" spans="1:5" x14ac:dyDescent="0.25">
      <c r="A28" t="s">
        <v>126</v>
      </c>
      <c r="B28" t="s">
        <v>79</v>
      </c>
      <c r="C28" t="s">
        <v>80</v>
      </c>
      <c r="D28" t="s">
        <v>80</v>
      </c>
      <c r="E28" t="s">
        <v>79</v>
      </c>
    </row>
    <row r="29" spans="1:5" x14ac:dyDescent="0.25">
      <c r="A29" t="s">
        <v>127</v>
      </c>
      <c r="B29" t="s">
        <v>79</v>
      </c>
      <c r="C29" t="s">
        <v>80</v>
      </c>
      <c r="D29" t="s">
        <v>80</v>
      </c>
      <c r="E29" t="s">
        <v>79</v>
      </c>
    </row>
    <row r="30" spans="1:5" x14ac:dyDescent="0.25">
      <c r="A30" t="s">
        <v>128</v>
      </c>
      <c r="B30" t="s">
        <v>79</v>
      </c>
      <c r="C30" t="s">
        <v>79</v>
      </c>
      <c r="D30" t="s">
        <v>79</v>
      </c>
      <c r="E30" t="s">
        <v>80</v>
      </c>
    </row>
    <row r="31" spans="1:5" x14ac:dyDescent="0.25">
      <c r="A31" t="s">
        <v>130</v>
      </c>
      <c r="B31" t="s">
        <v>79</v>
      </c>
      <c r="C31" t="s">
        <v>80</v>
      </c>
      <c r="D31" t="s">
        <v>79</v>
      </c>
      <c r="E31" t="s">
        <v>80</v>
      </c>
    </row>
    <row r="32" spans="1:5" x14ac:dyDescent="0.25">
      <c r="A32" t="s">
        <v>132</v>
      </c>
      <c r="B32" t="s">
        <v>79</v>
      </c>
      <c r="C32" t="s">
        <v>79</v>
      </c>
      <c r="D32" t="s">
        <v>79</v>
      </c>
      <c r="E32" t="s">
        <v>80</v>
      </c>
    </row>
    <row r="33" spans="1:5" x14ac:dyDescent="0.25">
      <c r="A33" t="s">
        <v>135</v>
      </c>
      <c r="B33" t="s">
        <v>79</v>
      </c>
      <c r="C33" t="s">
        <v>79</v>
      </c>
      <c r="D33" t="s">
        <v>80</v>
      </c>
      <c r="E33" t="s">
        <v>79</v>
      </c>
    </row>
    <row r="34" spans="1:5" x14ac:dyDescent="0.25">
      <c r="A34" t="s">
        <v>137</v>
      </c>
      <c r="B34" t="s">
        <v>79</v>
      </c>
      <c r="C34" t="s">
        <v>80</v>
      </c>
      <c r="D34" t="s">
        <v>80</v>
      </c>
      <c r="E34" t="s">
        <v>79</v>
      </c>
    </row>
    <row r="35" spans="1:5" x14ac:dyDescent="0.25">
      <c r="A35" t="s">
        <v>138</v>
      </c>
      <c r="B35" t="s">
        <v>79</v>
      </c>
      <c r="C35" t="s">
        <v>79</v>
      </c>
      <c r="D35" t="s">
        <v>80</v>
      </c>
      <c r="E35" t="s">
        <v>79</v>
      </c>
    </row>
    <row r="36" spans="1:5" x14ac:dyDescent="0.25">
      <c r="A36" t="s">
        <v>139</v>
      </c>
      <c r="B36" t="s">
        <v>79</v>
      </c>
      <c r="C36" t="s">
        <v>80</v>
      </c>
      <c r="D36" t="s">
        <v>80</v>
      </c>
      <c r="E36" t="s">
        <v>79</v>
      </c>
    </row>
    <row r="37" spans="1:5" x14ac:dyDescent="0.25">
      <c r="A37" t="s">
        <v>140</v>
      </c>
      <c r="B37" t="s">
        <v>79</v>
      </c>
      <c r="C37" t="s">
        <v>80</v>
      </c>
      <c r="D37" t="s">
        <v>79</v>
      </c>
      <c r="E37" t="s">
        <v>80</v>
      </c>
    </row>
    <row r="38" spans="1:5" x14ac:dyDescent="0.25">
      <c r="A38" t="s">
        <v>141</v>
      </c>
      <c r="B38" t="s">
        <v>79</v>
      </c>
      <c r="C38" t="s">
        <v>79</v>
      </c>
      <c r="D38" t="s">
        <v>79</v>
      </c>
      <c r="E38" t="s">
        <v>80</v>
      </c>
    </row>
    <row r="39" spans="1:5" x14ac:dyDescent="0.25">
      <c r="A39" t="s">
        <v>47</v>
      </c>
      <c r="B39" t="s">
        <v>79</v>
      </c>
      <c r="C39" t="s">
        <v>79</v>
      </c>
      <c r="D39" t="s">
        <v>79</v>
      </c>
      <c r="E39" t="s">
        <v>80</v>
      </c>
    </row>
    <row r="40" spans="1:5" x14ac:dyDescent="0.25">
      <c r="A40" t="s">
        <v>143</v>
      </c>
      <c r="B40" t="s">
        <v>79</v>
      </c>
      <c r="C40" t="s">
        <v>80</v>
      </c>
      <c r="D40" t="s">
        <v>80</v>
      </c>
      <c r="E40" t="s">
        <v>79</v>
      </c>
    </row>
    <row r="41" spans="1:5" x14ac:dyDescent="0.25">
      <c r="A41" t="s">
        <v>145</v>
      </c>
      <c r="B41" t="s">
        <v>79</v>
      </c>
      <c r="C41" t="s">
        <v>79</v>
      </c>
      <c r="D41" t="s">
        <v>79</v>
      </c>
      <c r="E41" t="s">
        <v>80</v>
      </c>
    </row>
    <row r="42" spans="1:5" x14ac:dyDescent="0.25">
      <c r="A42" t="s">
        <v>146</v>
      </c>
      <c r="B42" t="s">
        <v>79</v>
      </c>
      <c r="C42" t="s">
        <v>80</v>
      </c>
      <c r="D42" t="s">
        <v>80</v>
      </c>
      <c r="E42" t="s">
        <v>79</v>
      </c>
    </row>
    <row r="43" spans="1:5" x14ac:dyDescent="0.25">
      <c r="A43" t="s">
        <v>147</v>
      </c>
      <c r="B43" t="s">
        <v>79</v>
      </c>
      <c r="C43" t="s">
        <v>80</v>
      </c>
      <c r="D43" t="s">
        <v>80</v>
      </c>
      <c r="E43" t="s">
        <v>79</v>
      </c>
    </row>
    <row r="44" spans="1:5" x14ac:dyDescent="0.25">
      <c r="A44" t="s">
        <v>157</v>
      </c>
      <c r="B44" t="s">
        <v>79</v>
      </c>
      <c r="C44" t="s">
        <v>80</v>
      </c>
      <c r="D44" t="s">
        <v>79</v>
      </c>
      <c r="E44" t="s">
        <v>80</v>
      </c>
    </row>
    <row r="45" spans="1:5" x14ac:dyDescent="0.25">
      <c r="A45" t="s">
        <v>161</v>
      </c>
      <c r="B45" t="s">
        <v>79</v>
      </c>
      <c r="C45" t="s">
        <v>80</v>
      </c>
      <c r="D45" t="s">
        <v>80</v>
      </c>
      <c r="E45" t="s">
        <v>79</v>
      </c>
    </row>
    <row r="46" spans="1:5" x14ac:dyDescent="0.25">
      <c r="A46" t="s">
        <v>162</v>
      </c>
      <c r="B46" t="s">
        <v>79</v>
      </c>
      <c r="C46" t="s">
        <v>80</v>
      </c>
      <c r="D46" t="s">
        <v>79</v>
      </c>
      <c r="E46" t="s">
        <v>80</v>
      </c>
    </row>
    <row r="47" spans="1:5" x14ac:dyDescent="0.25">
      <c r="A47" t="s">
        <v>49</v>
      </c>
      <c r="B47" t="s">
        <v>79</v>
      </c>
      <c r="C47" t="s">
        <v>80</v>
      </c>
      <c r="D47" t="s">
        <v>79</v>
      </c>
      <c r="E47" t="s">
        <v>80</v>
      </c>
    </row>
    <row r="48" spans="1:5" x14ac:dyDescent="0.25">
      <c r="A48" t="s">
        <v>167</v>
      </c>
      <c r="B48" t="s">
        <v>79</v>
      </c>
      <c r="C48" t="s">
        <v>80</v>
      </c>
      <c r="D48" t="s">
        <v>79</v>
      </c>
      <c r="E48" t="s">
        <v>80</v>
      </c>
    </row>
    <row r="49" spans="1:5" x14ac:dyDescent="0.25">
      <c r="A49" t="s">
        <v>170</v>
      </c>
      <c r="B49" t="s">
        <v>79</v>
      </c>
      <c r="C49" t="s">
        <v>80</v>
      </c>
      <c r="D49" t="s">
        <v>80</v>
      </c>
      <c r="E49" t="s">
        <v>79</v>
      </c>
    </row>
    <row r="50" spans="1:5" x14ac:dyDescent="0.25">
      <c r="A50" t="s">
        <v>171</v>
      </c>
      <c r="B50" t="s">
        <v>79</v>
      </c>
      <c r="C50" t="s">
        <v>80</v>
      </c>
      <c r="D50" t="s">
        <v>80</v>
      </c>
      <c r="E50" t="s">
        <v>79</v>
      </c>
    </row>
    <row r="51" spans="1:5" x14ac:dyDescent="0.25">
      <c r="A51" t="s">
        <v>173</v>
      </c>
      <c r="B51" t="s">
        <v>79</v>
      </c>
      <c r="C51" t="s">
        <v>80</v>
      </c>
      <c r="D51" t="s">
        <v>79</v>
      </c>
      <c r="E51" t="s">
        <v>80</v>
      </c>
    </row>
    <row r="52" spans="1:5" x14ac:dyDescent="0.25">
      <c r="A52" t="s">
        <v>176</v>
      </c>
      <c r="B52" t="s">
        <v>79</v>
      </c>
      <c r="C52" t="s">
        <v>79</v>
      </c>
      <c r="D52" t="s">
        <v>79</v>
      </c>
      <c r="E52" t="s">
        <v>80</v>
      </c>
    </row>
    <row r="53" spans="1:5" x14ac:dyDescent="0.25">
      <c r="A53" t="s">
        <v>177</v>
      </c>
      <c r="B53" t="s">
        <v>79</v>
      </c>
      <c r="C53" t="s">
        <v>79</v>
      </c>
      <c r="D53" t="s">
        <v>80</v>
      </c>
      <c r="E53" t="s">
        <v>79</v>
      </c>
    </row>
    <row r="54" spans="1:5" x14ac:dyDescent="0.25">
      <c r="A54" t="s">
        <v>178</v>
      </c>
      <c r="B54" t="s">
        <v>79</v>
      </c>
      <c r="C54" t="s">
        <v>80</v>
      </c>
      <c r="D54" t="s">
        <v>79</v>
      </c>
      <c r="E54" t="s">
        <v>80</v>
      </c>
    </row>
    <row r="55" spans="1:5" x14ac:dyDescent="0.25">
      <c r="A55" t="s">
        <v>183</v>
      </c>
      <c r="B55" t="s">
        <v>79</v>
      </c>
      <c r="C55" t="s">
        <v>80</v>
      </c>
      <c r="D55" t="s">
        <v>80</v>
      </c>
      <c r="E55" t="s">
        <v>79</v>
      </c>
    </row>
    <row r="56" spans="1:5" x14ac:dyDescent="0.25">
      <c r="A56" t="s">
        <v>184</v>
      </c>
      <c r="B56" t="s">
        <v>79</v>
      </c>
      <c r="C56" t="s">
        <v>80</v>
      </c>
      <c r="D56" t="s">
        <v>79</v>
      </c>
      <c r="E56" t="s">
        <v>80</v>
      </c>
    </row>
    <row r="57" spans="1:5" x14ac:dyDescent="0.25">
      <c r="A57" t="s">
        <v>186</v>
      </c>
      <c r="B57" t="s">
        <v>79</v>
      </c>
      <c r="C57" t="s">
        <v>80</v>
      </c>
      <c r="D57" t="s">
        <v>80</v>
      </c>
      <c r="E57" t="s">
        <v>79</v>
      </c>
    </row>
    <row r="58" spans="1:5" x14ac:dyDescent="0.25">
      <c r="A58" t="s">
        <v>188</v>
      </c>
      <c r="B58" t="s">
        <v>79</v>
      </c>
      <c r="C58" t="s">
        <v>80</v>
      </c>
      <c r="D58" t="s">
        <v>80</v>
      </c>
      <c r="E58" t="s">
        <v>79</v>
      </c>
    </row>
    <row r="59" spans="1:5" x14ac:dyDescent="0.25">
      <c r="A59" t="s">
        <v>190</v>
      </c>
      <c r="B59" t="s">
        <v>79</v>
      </c>
      <c r="C59" t="s">
        <v>80</v>
      </c>
      <c r="D59" t="s">
        <v>80</v>
      </c>
      <c r="E59" t="s">
        <v>79</v>
      </c>
    </row>
    <row r="60" spans="1:5" x14ac:dyDescent="0.25">
      <c r="A60" t="s">
        <v>191</v>
      </c>
      <c r="B60" t="s">
        <v>79</v>
      </c>
      <c r="C60" t="s">
        <v>80</v>
      </c>
      <c r="D60" t="s">
        <v>80</v>
      </c>
      <c r="E60" t="s">
        <v>79</v>
      </c>
    </row>
    <row r="61" spans="1:5" x14ac:dyDescent="0.25">
      <c r="A61" t="s">
        <v>192</v>
      </c>
      <c r="B61" t="s">
        <v>79</v>
      </c>
      <c r="C61" t="s">
        <v>79</v>
      </c>
      <c r="D61" t="s">
        <v>79</v>
      </c>
      <c r="E61" t="s">
        <v>80</v>
      </c>
    </row>
    <row r="62" spans="1:5" x14ac:dyDescent="0.25">
      <c r="A62" t="s">
        <v>193</v>
      </c>
      <c r="B62" t="s">
        <v>79</v>
      </c>
      <c r="C62" t="s">
        <v>79</v>
      </c>
      <c r="D62" t="s">
        <v>80</v>
      </c>
      <c r="E62" t="s">
        <v>79</v>
      </c>
    </row>
    <row r="63" spans="1:5" x14ac:dyDescent="0.25">
      <c r="A63" t="s">
        <v>194</v>
      </c>
      <c r="B63" t="s">
        <v>79</v>
      </c>
      <c r="C63" t="s">
        <v>79</v>
      </c>
      <c r="D63" t="s">
        <v>79</v>
      </c>
      <c r="E63" t="s">
        <v>80</v>
      </c>
    </row>
    <row r="64" spans="1:5" x14ac:dyDescent="0.25">
      <c r="A64" t="s">
        <v>195</v>
      </c>
      <c r="B64" t="s">
        <v>79</v>
      </c>
      <c r="C64" t="s">
        <v>79</v>
      </c>
      <c r="D64" t="s">
        <v>79</v>
      </c>
      <c r="E64" t="s">
        <v>80</v>
      </c>
    </row>
    <row r="65" spans="1:5" x14ac:dyDescent="0.25">
      <c r="A65" t="s">
        <v>196</v>
      </c>
      <c r="B65" t="s">
        <v>79</v>
      </c>
      <c r="C65" t="s">
        <v>79</v>
      </c>
      <c r="D65" t="s">
        <v>79</v>
      </c>
      <c r="E65" t="s">
        <v>80</v>
      </c>
    </row>
    <row r="66" spans="1:5" x14ac:dyDescent="0.25">
      <c r="A66" t="s">
        <v>197</v>
      </c>
      <c r="B66" t="s">
        <v>79</v>
      </c>
      <c r="C66" t="s">
        <v>79</v>
      </c>
      <c r="D66" t="s">
        <v>80</v>
      </c>
      <c r="E66" t="s">
        <v>79</v>
      </c>
    </row>
    <row r="67" spans="1:5" x14ac:dyDescent="0.25">
      <c r="A67" t="s">
        <v>198</v>
      </c>
      <c r="B67" t="s">
        <v>79</v>
      </c>
      <c r="C67" t="s">
        <v>79</v>
      </c>
      <c r="D67" t="s">
        <v>79</v>
      </c>
      <c r="E67" t="s">
        <v>80</v>
      </c>
    </row>
    <row r="68" spans="1:5" x14ac:dyDescent="0.25">
      <c r="A68" t="s">
        <v>199</v>
      </c>
      <c r="B68" t="s">
        <v>79</v>
      </c>
      <c r="C68" t="s">
        <v>79</v>
      </c>
      <c r="D68" t="s">
        <v>79</v>
      </c>
      <c r="E68" t="s">
        <v>80</v>
      </c>
    </row>
    <row r="69" spans="1:5" x14ac:dyDescent="0.25">
      <c r="A69" t="s">
        <v>200</v>
      </c>
      <c r="B69" t="s">
        <v>79</v>
      </c>
      <c r="C69" t="s">
        <v>79</v>
      </c>
      <c r="D69" t="s">
        <v>80</v>
      </c>
      <c r="E69" t="s">
        <v>79</v>
      </c>
    </row>
    <row r="70" spans="1:5" x14ac:dyDescent="0.25">
      <c r="A70" t="s">
        <v>219</v>
      </c>
      <c r="B70" t="s">
        <v>79</v>
      </c>
      <c r="C70" t="s">
        <v>80</v>
      </c>
      <c r="D70" t="s">
        <v>79</v>
      </c>
      <c r="E70" t="s">
        <v>80</v>
      </c>
    </row>
    <row r="71" spans="1:5" x14ac:dyDescent="0.25">
      <c r="A71" t="s">
        <v>20</v>
      </c>
      <c r="B71" t="s">
        <v>79</v>
      </c>
      <c r="C71" t="s">
        <v>79</v>
      </c>
      <c r="D71" t="s">
        <v>79</v>
      </c>
      <c r="E71" t="s">
        <v>80</v>
      </c>
    </row>
    <row r="72" spans="1:5" x14ac:dyDescent="0.25">
      <c r="A72" t="s">
        <v>220</v>
      </c>
      <c r="B72" t="s">
        <v>79</v>
      </c>
      <c r="C72" t="s">
        <v>79</v>
      </c>
      <c r="D72" t="s">
        <v>79</v>
      </c>
      <c r="E72" t="s">
        <v>80</v>
      </c>
    </row>
    <row r="73" spans="1:5" x14ac:dyDescent="0.25">
      <c r="A73" t="s">
        <v>223</v>
      </c>
      <c r="B73" t="s">
        <v>79</v>
      </c>
      <c r="C73" t="s">
        <v>79</v>
      </c>
      <c r="D73" t="s">
        <v>79</v>
      </c>
      <c r="E73" t="s">
        <v>80</v>
      </c>
    </row>
    <row r="74" spans="1:5" x14ac:dyDescent="0.25">
      <c r="A74" t="s">
        <v>224</v>
      </c>
      <c r="B74" t="s">
        <v>79</v>
      </c>
      <c r="C74" t="s">
        <v>80</v>
      </c>
      <c r="D74" t="s">
        <v>79</v>
      </c>
      <c r="E74" t="s">
        <v>80</v>
      </c>
    </row>
    <row r="75" spans="1:5" x14ac:dyDescent="0.25">
      <c r="A75" t="s">
        <v>227</v>
      </c>
      <c r="B75" t="s">
        <v>79</v>
      </c>
      <c r="C75" t="s">
        <v>79</v>
      </c>
      <c r="D75" t="s">
        <v>80</v>
      </c>
      <c r="E75" t="s">
        <v>79</v>
      </c>
    </row>
    <row r="76" spans="1:5" x14ac:dyDescent="0.25">
      <c r="A76" t="s">
        <v>19</v>
      </c>
      <c r="B76" t="s">
        <v>79</v>
      </c>
      <c r="C76" t="s">
        <v>80</v>
      </c>
      <c r="D76" t="s">
        <v>79</v>
      </c>
      <c r="E76" t="s">
        <v>80</v>
      </c>
    </row>
    <row r="77" spans="1:5" x14ac:dyDescent="0.25">
      <c r="A77" t="s">
        <v>232</v>
      </c>
      <c r="B77" t="s">
        <v>79</v>
      </c>
      <c r="C77" t="s">
        <v>80</v>
      </c>
      <c r="D77" t="s">
        <v>80</v>
      </c>
      <c r="E77" t="s">
        <v>79</v>
      </c>
    </row>
    <row r="78" spans="1:5" x14ac:dyDescent="0.25">
      <c r="A78" t="s">
        <v>233</v>
      </c>
      <c r="B78" t="s">
        <v>79</v>
      </c>
      <c r="C78" t="s">
        <v>80</v>
      </c>
      <c r="D78" t="s">
        <v>79</v>
      </c>
      <c r="E78" t="s">
        <v>80</v>
      </c>
    </row>
    <row r="79" spans="1:5" x14ac:dyDescent="0.25">
      <c r="A79" t="s">
        <v>235</v>
      </c>
      <c r="B79" t="s">
        <v>79</v>
      </c>
      <c r="C79" t="s">
        <v>79</v>
      </c>
      <c r="D79" t="s">
        <v>80</v>
      </c>
      <c r="E79" t="s">
        <v>79</v>
      </c>
    </row>
    <row r="80" spans="1:5" x14ac:dyDescent="0.25">
      <c r="A80" t="s">
        <v>237</v>
      </c>
      <c r="B80" t="s">
        <v>79</v>
      </c>
      <c r="C80" t="s">
        <v>80</v>
      </c>
      <c r="D80" t="s">
        <v>79</v>
      </c>
      <c r="E80" t="s">
        <v>80</v>
      </c>
    </row>
    <row r="81" spans="1:5" x14ac:dyDescent="0.25">
      <c r="A81" t="s">
        <v>238</v>
      </c>
      <c r="B81" t="s">
        <v>79</v>
      </c>
      <c r="C81" t="s">
        <v>80</v>
      </c>
      <c r="D81" t="s">
        <v>80</v>
      </c>
      <c r="E81" t="s">
        <v>79</v>
      </c>
    </row>
    <row r="82" spans="1:5" x14ac:dyDescent="0.25">
      <c r="A82" t="s">
        <v>239</v>
      </c>
      <c r="B82" t="s">
        <v>79</v>
      </c>
      <c r="C82" t="s">
        <v>80</v>
      </c>
      <c r="D82" t="s">
        <v>79</v>
      </c>
      <c r="E82" t="s">
        <v>80</v>
      </c>
    </row>
    <row r="83" spans="1:5" x14ac:dyDescent="0.25">
      <c r="A83" t="s">
        <v>240</v>
      </c>
      <c r="B83" t="s">
        <v>79</v>
      </c>
      <c r="C83" t="s">
        <v>80</v>
      </c>
      <c r="D83" t="s">
        <v>80</v>
      </c>
      <c r="E83" t="s">
        <v>79</v>
      </c>
    </row>
    <row r="84" spans="1:5" x14ac:dyDescent="0.25">
      <c r="A84" t="s">
        <v>257</v>
      </c>
      <c r="B84" t="s">
        <v>79</v>
      </c>
      <c r="C84" t="s">
        <v>80</v>
      </c>
      <c r="D84" t="s">
        <v>80</v>
      </c>
      <c r="E84" t="s">
        <v>79</v>
      </c>
    </row>
    <row r="85" spans="1:5" x14ac:dyDescent="0.25">
      <c r="A85" t="s">
        <v>259</v>
      </c>
      <c r="B85" t="s">
        <v>79</v>
      </c>
      <c r="C85" t="s">
        <v>80</v>
      </c>
      <c r="D85" t="s">
        <v>80</v>
      </c>
      <c r="E85" t="s">
        <v>79</v>
      </c>
    </row>
    <row r="86" spans="1:5" x14ac:dyDescent="0.25">
      <c r="A86" t="s">
        <v>260</v>
      </c>
      <c r="B86" t="s">
        <v>79</v>
      </c>
      <c r="C86" t="s">
        <v>80</v>
      </c>
      <c r="D86" t="s">
        <v>80</v>
      </c>
      <c r="E86" t="s">
        <v>79</v>
      </c>
    </row>
    <row r="87" spans="1:5" x14ac:dyDescent="0.25">
      <c r="A87" t="s">
        <v>261</v>
      </c>
      <c r="B87" t="s">
        <v>79</v>
      </c>
      <c r="C87" t="s">
        <v>80</v>
      </c>
      <c r="D87" t="s">
        <v>80</v>
      </c>
      <c r="E87" t="s">
        <v>79</v>
      </c>
    </row>
    <row r="88" spans="1:5" x14ac:dyDescent="0.25">
      <c r="A88" t="s">
        <v>262</v>
      </c>
      <c r="B88" t="s">
        <v>79</v>
      </c>
      <c r="C88" t="s">
        <v>80</v>
      </c>
      <c r="D88" t="s">
        <v>79</v>
      </c>
      <c r="E88" t="s">
        <v>80</v>
      </c>
    </row>
    <row r="89" spans="1:5" x14ac:dyDescent="0.25">
      <c r="A89" t="s">
        <v>263</v>
      </c>
      <c r="B89" t="s">
        <v>79</v>
      </c>
      <c r="C89" t="s">
        <v>80</v>
      </c>
      <c r="D89" t="s">
        <v>80</v>
      </c>
      <c r="E89" t="s">
        <v>79</v>
      </c>
    </row>
    <row r="90" spans="1:5" x14ac:dyDescent="0.25">
      <c r="A90" t="s">
        <v>264</v>
      </c>
      <c r="B90" t="s">
        <v>79</v>
      </c>
      <c r="C90" t="s">
        <v>80</v>
      </c>
      <c r="D90" t="s">
        <v>80</v>
      </c>
      <c r="E90" t="s">
        <v>79</v>
      </c>
    </row>
    <row r="91" spans="1:5" x14ac:dyDescent="0.25">
      <c r="A91" t="s">
        <v>265</v>
      </c>
      <c r="B91" t="s">
        <v>79</v>
      </c>
      <c r="C91" t="s">
        <v>80</v>
      </c>
      <c r="D91" t="s">
        <v>80</v>
      </c>
      <c r="E91" t="s">
        <v>79</v>
      </c>
    </row>
    <row r="92" spans="1:5" x14ac:dyDescent="0.25">
      <c r="A92" t="s">
        <v>267</v>
      </c>
      <c r="B92" t="s">
        <v>79</v>
      </c>
      <c r="C92" t="s">
        <v>80</v>
      </c>
      <c r="D92" t="s">
        <v>79</v>
      </c>
      <c r="E92" t="s">
        <v>80</v>
      </c>
    </row>
    <row r="93" spans="1:5" x14ac:dyDescent="0.25">
      <c r="A93" t="s">
        <v>54</v>
      </c>
      <c r="B93" t="s">
        <v>79</v>
      </c>
      <c r="C93" t="s">
        <v>80</v>
      </c>
      <c r="D93" t="s">
        <v>79</v>
      </c>
      <c r="E93" t="s">
        <v>79</v>
      </c>
    </row>
    <row r="94" spans="1:5" x14ac:dyDescent="0.25">
      <c r="A94" t="s">
        <v>268</v>
      </c>
      <c r="B94" t="s">
        <v>79</v>
      </c>
      <c r="C94" t="s">
        <v>80</v>
      </c>
      <c r="D94" t="s">
        <v>80</v>
      </c>
      <c r="E94" t="s">
        <v>79</v>
      </c>
    </row>
    <row r="95" spans="1:5" x14ac:dyDescent="0.25">
      <c r="A95" t="s">
        <v>269</v>
      </c>
      <c r="B95" t="s">
        <v>79</v>
      </c>
      <c r="C95" t="s">
        <v>80</v>
      </c>
      <c r="D95" t="s">
        <v>80</v>
      </c>
      <c r="E95" t="s">
        <v>79</v>
      </c>
    </row>
    <row r="96" spans="1:5" x14ac:dyDescent="0.25">
      <c r="A96" t="s">
        <v>270</v>
      </c>
      <c r="B96" t="s">
        <v>79</v>
      </c>
      <c r="C96" t="s">
        <v>80</v>
      </c>
      <c r="D96" t="s">
        <v>80</v>
      </c>
      <c r="E96" t="s">
        <v>79</v>
      </c>
    </row>
    <row r="97" spans="1:5" x14ac:dyDescent="0.25">
      <c r="A97" t="s">
        <v>271</v>
      </c>
      <c r="B97" t="s">
        <v>79</v>
      </c>
      <c r="C97" t="s">
        <v>80</v>
      </c>
      <c r="D97" t="s">
        <v>80</v>
      </c>
      <c r="E97" t="s">
        <v>79</v>
      </c>
    </row>
    <row r="98" spans="1:5" x14ac:dyDescent="0.25">
      <c r="A98" t="s">
        <v>272</v>
      </c>
      <c r="B98" t="s">
        <v>79</v>
      </c>
      <c r="C98" t="s">
        <v>80</v>
      </c>
      <c r="D98" t="s">
        <v>79</v>
      </c>
      <c r="E98" t="s">
        <v>80</v>
      </c>
    </row>
    <row r="99" spans="1:5" x14ac:dyDescent="0.25">
      <c r="A99" t="s">
        <v>25</v>
      </c>
      <c r="B99" t="s">
        <v>79</v>
      </c>
      <c r="C99" t="s">
        <v>79</v>
      </c>
      <c r="D99" t="s">
        <v>79</v>
      </c>
      <c r="E99" t="s">
        <v>80</v>
      </c>
    </row>
    <row r="100" spans="1:5" x14ac:dyDescent="0.25">
      <c r="A100" t="s">
        <v>273</v>
      </c>
      <c r="B100" t="s">
        <v>79</v>
      </c>
      <c r="C100" t="s">
        <v>80</v>
      </c>
      <c r="D100" t="s">
        <v>79</v>
      </c>
      <c r="E100" t="s">
        <v>80</v>
      </c>
    </row>
    <row r="101" spans="1:5" x14ac:dyDescent="0.25">
      <c r="A101" t="s">
        <v>275</v>
      </c>
      <c r="B101" t="s">
        <v>79</v>
      </c>
      <c r="C101" t="s">
        <v>80</v>
      </c>
      <c r="D101" t="s">
        <v>80</v>
      </c>
      <c r="E101" t="s">
        <v>79</v>
      </c>
    </row>
    <row r="102" spans="1:5" x14ac:dyDescent="0.25">
      <c r="A102" t="s">
        <v>56</v>
      </c>
      <c r="B102" t="s">
        <v>79</v>
      </c>
      <c r="C102" t="s">
        <v>79</v>
      </c>
      <c r="D102" t="s">
        <v>79</v>
      </c>
      <c r="E102" t="s">
        <v>80</v>
      </c>
    </row>
    <row r="103" spans="1:5" x14ac:dyDescent="0.25">
      <c r="A103" t="s">
        <v>278</v>
      </c>
      <c r="B103" t="s">
        <v>79</v>
      </c>
      <c r="C103" t="s">
        <v>80</v>
      </c>
      <c r="D103" t="s">
        <v>79</v>
      </c>
      <c r="E103" t="s">
        <v>80</v>
      </c>
    </row>
    <row r="104" spans="1:5" x14ac:dyDescent="0.25">
      <c r="A104" t="s">
        <v>279</v>
      </c>
      <c r="B104" t="s">
        <v>79</v>
      </c>
      <c r="C104" t="s">
        <v>80</v>
      </c>
      <c r="D104" t="s">
        <v>80</v>
      </c>
      <c r="E104" t="s">
        <v>80</v>
      </c>
    </row>
    <row r="105" spans="1:5" x14ac:dyDescent="0.25">
      <c r="A105" t="s">
        <v>280</v>
      </c>
      <c r="B105" t="s">
        <v>79</v>
      </c>
      <c r="C105" t="s">
        <v>80</v>
      </c>
      <c r="D105" t="s">
        <v>80</v>
      </c>
      <c r="E105" t="s">
        <v>79</v>
      </c>
    </row>
    <row r="106" spans="1:5" x14ac:dyDescent="0.25">
      <c r="A106" t="s">
        <v>17</v>
      </c>
      <c r="B106" t="s">
        <v>79</v>
      </c>
      <c r="C106" t="s">
        <v>79</v>
      </c>
      <c r="D106" t="s">
        <v>79</v>
      </c>
      <c r="E106" t="s">
        <v>80</v>
      </c>
    </row>
    <row r="107" spans="1:5" x14ac:dyDescent="0.25">
      <c r="A107" t="s">
        <v>22</v>
      </c>
      <c r="B107" t="s">
        <v>79</v>
      </c>
      <c r="C107" t="s">
        <v>79</v>
      </c>
      <c r="D107" t="s">
        <v>79</v>
      </c>
      <c r="E107" t="s">
        <v>80</v>
      </c>
    </row>
    <row r="108" spans="1:5" x14ac:dyDescent="0.25">
      <c r="A108" t="s">
        <v>292</v>
      </c>
      <c r="B108" t="s">
        <v>79</v>
      </c>
      <c r="C108" t="s">
        <v>80</v>
      </c>
      <c r="D108" t="s">
        <v>79</v>
      </c>
      <c r="E108" t="s">
        <v>80</v>
      </c>
    </row>
    <row r="109" spans="1:5" x14ac:dyDescent="0.25">
      <c r="A109" t="s">
        <v>295</v>
      </c>
      <c r="B109" t="s">
        <v>79</v>
      </c>
      <c r="C109" t="s">
        <v>80</v>
      </c>
      <c r="D109" t="s">
        <v>79</v>
      </c>
      <c r="E109" t="s">
        <v>80</v>
      </c>
    </row>
    <row r="110" spans="1:5" x14ac:dyDescent="0.25">
      <c r="A110" t="s">
        <v>21</v>
      </c>
      <c r="B110" t="s">
        <v>79</v>
      </c>
      <c r="C110" t="s">
        <v>79</v>
      </c>
      <c r="D110" t="s">
        <v>79</v>
      </c>
      <c r="E110" t="s">
        <v>80</v>
      </c>
    </row>
    <row r="111" spans="1:5" x14ac:dyDescent="0.25">
      <c r="A111" t="s">
        <v>306</v>
      </c>
      <c r="B111" t="s">
        <v>79</v>
      </c>
      <c r="C111" t="s">
        <v>80</v>
      </c>
      <c r="D111" t="s">
        <v>80</v>
      </c>
      <c r="E111" t="s">
        <v>79</v>
      </c>
    </row>
    <row r="112" spans="1:5" x14ac:dyDescent="0.25">
      <c r="A112" t="s">
        <v>307</v>
      </c>
      <c r="B112" t="s">
        <v>79</v>
      </c>
      <c r="C112" t="s">
        <v>80</v>
      </c>
      <c r="D112" t="s">
        <v>80</v>
      </c>
      <c r="E112" t="s">
        <v>80</v>
      </c>
    </row>
    <row r="113" spans="1:5" x14ac:dyDescent="0.25">
      <c r="A113" t="s">
        <v>308</v>
      </c>
      <c r="B113" t="s">
        <v>79</v>
      </c>
      <c r="C113" t="s">
        <v>80</v>
      </c>
      <c r="D113" t="s">
        <v>79</v>
      </c>
      <c r="E113" t="s">
        <v>80</v>
      </c>
    </row>
    <row r="114" spans="1:5" x14ac:dyDescent="0.25">
      <c r="A114" t="s">
        <v>309</v>
      </c>
      <c r="B114" t="s">
        <v>79</v>
      </c>
      <c r="C114" t="s">
        <v>80</v>
      </c>
      <c r="D114" t="s">
        <v>79</v>
      </c>
      <c r="E114" t="s">
        <v>80</v>
      </c>
    </row>
    <row r="115" spans="1:5" x14ac:dyDescent="0.25">
      <c r="A115" t="s">
        <v>310</v>
      </c>
      <c r="B115" t="s">
        <v>79</v>
      </c>
      <c r="C115" t="s">
        <v>80</v>
      </c>
      <c r="D115" t="s">
        <v>79</v>
      </c>
      <c r="E115" t="s">
        <v>80</v>
      </c>
    </row>
    <row r="116" spans="1:5" x14ac:dyDescent="0.25">
      <c r="A116" t="s">
        <v>59</v>
      </c>
      <c r="B116" t="s">
        <v>79</v>
      </c>
      <c r="C116" t="s">
        <v>80</v>
      </c>
      <c r="D116" t="s">
        <v>79</v>
      </c>
      <c r="E116" t="s">
        <v>80</v>
      </c>
    </row>
    <row r="117" spans="1:5" x14ac:dyDescent="0.25">
      <c r="A117" t="s">
        <v>60</v>
      </c>
      <c r="B117" t="s">
        <v>79</v>
      </c>
      <c r="C117" t="s">
        <v>80</v>
      </c>
      <c r="D117" t="s">
        <v>79</v>
      </c>
      <c r="E117" t="s">
        <v>80</v>
      </c>
    </row>
    <row r="118" spans="1:5" x14ac:dyDescent="0.25">
      <c r="A118" t="s">
        <v>61</v>
      </c>
      <c r="B118" t="s">
        <v>79</v>
      </c>
      <c r="C118" t="s">
        <v>80</v>
      </c>
      <c r="D118" t="s">
        <v>79</v>
      </c>
      <c r="E118" t="s">
        <v>80</v>
      </c>
    </row>
    <row r="119" spans="1:5" x14ac:dyDescent="0.25">
      <c r="A119" t="s">
        <v>311</v>
      </c>
      <c r="B119" t="s">
        <v>79</v>
      </c>
      <c r="C119" t="s">
        <v>80</v>
      </c>
      <c r="D119" t="s">
        <v>79</v>
      </c>
      <c r="E119" t="s">
        <v>80</v>
      </c>
    </row>
    <row r="120" spans="1:5" x14ac:dyDescent="0.25">
      <c r="A120" t="s">
        <v>312</v>
      </c>
      <c r="B120" t="s">
        <v>79</v>
      </c>
      <c r="C120" t="s">
        <v>80</v>
      </c>
      <c r="D120" t="s">
        <v>80</v>
      </c>
      <c r="E120" t="s">
        <v>80</v>
      </c>
    </row>
    <row r="121" spans="1:5" x14ac:dyDescent="0.25">
      <c r="A121" t="s">
        <v>62</v>
      </c>
      <c r="B121" t="s">
        <v>79</v>
      </c>
      <c r="C121" t="s">
        <v>79</v>
      </c>
      <c r="D121" t="s">
        <v>79</v>
      </c>
      <c r="E121" t="s">
        <v>80</v>
      </c>
    </row>
    <row r="122" spans="1:5" x14ac:dyDescent="0.25">
      <c r="A122" t="s">
        <v>314</v>
      </c>
      <c r="B122" t="s">
        <v>79</v>
      </c>
      <c r="C122" t="s">
        <v>80</v>
      </c>
      <c r="D122" t="s">
        <v>80</v>
      </c>
      <c r="E122" t="s">
        <v>80</v>
      </c>
    </row>
    <row r="123" spans="1:5" x14ac:dyDescent="0.25">
      <c r="A123" t="s">
        <v>315</v>
      </c>
      <c r="B123" t="s">
        <v>79</v>
      </c>
      <c r="C123" t="s">
        <v>80</v>
      </c>
      <c r="D123" t="s">
        <v>80</v>
      </c>
      <c r="E123" t="s">
        <v>79</v>
      </c>
    </row>
    <row r="124" spans="1:5" x14ac:dyDescent="0.25">
      <c r="A124" t="s">
        <v>316</v>
      </c>
      <c r="B124" t="s">
        <v>79</v>
      </c>
      <c r="C124" t="s">
        <v>80</v>
      </c>
      <c r="D124" t="s">
        <v>80</v>
      </c>
      <c r="E124" t="s">
        <v>79</v>
      </c>
    </row>
    <row r="125" spans="1:5" x14ac:dyDescent="0.25">
      <c r="A125" t="s">
        <v>317</v>
      </c>
      <c r="B125" t="s">
        <v>79</v>
      </c>
      <c r="C125" t="s">
        <v>79</v>
      </c>
      <c r="D125" t="s">
        <v>79</v>
      </c>
      <c r="E125" t="s">
        <v>80</v>
      </c>
    </row>
    <row r="126" spans="1:5" x14ac:dyDescent="0.25">
      <c r="A126" t="s">
        <v>318</v>
      </c>
      <c r="B126" t="s">
        <v>79</v>
      </c>
      <c r="C126" t="s">
        <v>79</v>
      </c>
      <c r="D126" t="s">
        <v>80</v>
      </c>
      <c r="E126" t="s">
        <v>79</v>
      </c>
    </row>
    <row r="127" spans="1:5" x14ac:dyDescent="0.25">
      <c r="A127" t="s">
        <v>319</v>
      </c>
      <c r="B127" t="s">
        <v>79</v>
      </c>
      <c r="C127" t="s">
        <v>79</v>
      </c>
      <c r="D127" t="s">
        <v>79</v>
      </c>
      <c r="E127" t="s">
        <v>80</v>
      </c>
    </row>
    <row r="128" spans="1:5" x14ac:dyDescent="0.25">
      <c r="A128" t="s">
        <v>64</v>
      </c>
      <c r="B128" t="s">
        <v>79</v>
      </c>
      <c r="C128" t="s">
        <v>80</v>
      </c>
      <c r="D128" t="s">
        <v>79</v>
      </c>
      <c r="E128" t="s">
        <v>80</v>
      </c>
    </row>
    <row r="129" spans="1:5" x14ac:dyDescent="0.25">
      <c r="A129" t="s">
        <v>321</v>
      </c>
      <c r="B129" t="s">
        <v>79</v>
      </c>
      <c r="C129" t="s">
        <v>80</v>
      </c>
      <c r="D129" t="s">
        <v>80</v>
      </c>
      <c r="E129" t="s">
        <v>79</v>
      </c>
    </row>
    <row r="130" spans="1:5" x14ac:dyDescent="0.25">
      <c r="A130" t="s">
        <v>323</v>
      </c>
      <c r="B130" t="s">
        <v>79</v>
      </c>
      <c r="C130" t="s">
        <v>80</v>
      </c>
      <c r="D130" t="s">
        <v>79</v>
      </c>
      <c r="E130" t="s">
        <v>80</v>
      </c>
    </row>
    <row r="131" spans="1:5" x14ac:dyDescent="0.25">
      <c r="A131" t="s">
        <v>324</v>
      </c>
      <c r="B131" t="s">
        <v>79</v>
      </c>
      <c r="C131" t="s">
        <v>80</v>
      </c>
      <c r="D131" t="s">
        <v>80</v>
      </c>
      <c r="E131" t="s">
        <v>79</v>
      </c>
    </row>
    <row r="132" spans="1:5" x14ac:dyDescent="0.25">
      <c r="A132" t="s">
        <v>325</v>
      </c>
      <c r="B132" t="s">
        <v>79</v>
      </c>
      <c r="C132" t="s">
        <v>80</v>
      </c>
      <c r="D132" t="s">
        <v>79</v>
      </c>
      <c r="E132" t="s">
        <v>80</v>
      </c>
    </row>
    <row r="133" spans="1:5" x14ac:dyDescent="0.25">
      <c r="A133" t="s">
        <v>326</v>
      </c>
      <c r="B133" t="s">
        <v>79</v>
      </c>
      <c r="C133" t="s">
        <v>80</v>
      </c>
      <c r="D133" t="s">
        <v>80</v>
      </c>
      <c r="E133" t="s">
        <v>79</v>
      </c>
    </row>
    <row r="134" spans="1:5" x14ac:dyDescent="0.25">
      <c r="A134" t="s">
        <v>327</v>
      </c>
      <c r="B134" t="s">
        <v>79</v>
      </c>
      <c r="C134" t="s">
        <v>80</v>
      </c>
      <c r="D134" t="s">
        <v>79</v>
      </c>
      <c r="E134" t="s">
        <v>80</v>
      </c>
    </row>
    <row r="135" spans="1:5" x14ac:dyDescent="0.25">
      <c r="A135" t="s">
        <v>14</v>
      </c>
      <c r="B135" t="s">
        <v>79</v>
      </c>
      <c r="C135" t="s">
        <v>79</v>
      </c>
      <c r="D135" t="s">
        <v>79</v>
      </c>
      <c r="E135" t="s">
        <v>80</v>
      </c>
    </row>
    <row r="136" spans="1:5" x14ac:dyDescent="0.25">
      <c r="A136" t="s">
        <v>333</v>
      </c>
      <c r="B136" t="s">
        <v>79</v>
      </c>
      <c r="C136" t="s">
        <v>79</v>
      </c>
      <c r="D136" t="s">
        <v>80</v>
      </c>
      <c r="E136" t="s">
        <v>79</v>
      </c>
    </row>
    <row r="137" spans="1:5" x14ac:dyDescent="0.25">
      <c r="A137" t="s">
        <v>334</v>
      </c>
      <c r="B137" t="s">
        <v>79</v>
      </c>
      <c r="C137" t="s">
        <v>79</v>
      </c>
      <c r="D137" t="s">
        <v>79</v>
      </c>
      <c r="E137" t="s">
        <v>80</v>
      </c>
    </row>
    <row r="138" spans="1:5" x14ac:dyDescent="0.25">
      <c r="A138" t="s">
        <v>335</v>
      </c>
      <c r="B138" t="s">
        <v>79</v>
      </c>
      <c r="C138" t="s">
        <v>80</v>
      </c>
      <c r="D138" t="s">
        <v>79</v>
      </c>
      <c r="E138" t="s">
        <v>80</v>
      </c>
    </row>
    <row r="139" spans="1:5" x14ac:dyDescent="0.25">
      <c r="A139" t="s">
        <v>342</v>
      </c>
      <c r="B139" t="s">
        <v>79</v>
      </c>
      <c r="C139" t="s">
        <v>79</v>
      </c>
      <c r="D139" t="s">
        <v>79</v>
      </c>
      <c r="E139" t="s">
        <v>80</v>
      </c>
    </row>
    <row r="140" spans="1:5" x14ac:dyDescent="0.25">
      <c r="A140" t="s">
        <v>344</v>
      </c>
      <c r="B140" t="s">
        <v>79</v>
      </c>
      <c r="C140" t="s">
        <v>79</v>
      </c>
      <c r="D140" t="s">
        <v>80</v>
      </c>
      <c r="E140" t="s">
        <v>79</v>
      </c>
    </row>
    <row r="141" spans="1:5" x14ac:dyDescent="0.25">
      <c r="A141" t="s">
        <v>348</v>
      </c>
      <c r="B141" t="s">
        <v>79</v>
      </c>
      <c r="C141" t="s">
        <v>79</v>
      </c>
      <c r="D141" t="s">
        <v>80</v>
      </c>
      <c r="E141" t="s">
        <v>79</v>
      </c>
    </row>
    <row r="142" spans="1:5" x14ac:dyDescent="0.25">
      <c r="A142" t="s">
        <v>353</v>
      </c>
      <c r="B142" t="s">
        <v>79</v>
      </c>
      <c r="C142" t="s">
        <v>79</v>
      </c>
      <c r="D142" t="s">
        <v>79</v>
      </c>
      <c r="E142" t="s">
        <v>80</v>
      </c>
    </row>
    <row r="143" spans="1:5" x14ac:dyDescent="0.25">
      <c r="A143" t="s">
        <v>355</v>
      </c>
      <c r="B143" t="s">
        <v>79</v>
      </c>
      <c r="C143" t="s">
        <v>79</v>
      </c>
      <c r="D143" t="s">
        <v>79</v>
      </c>
      <c r="E143" t="s">
        <v>80</v>
      </c>
    </row>
    <row r="144" spans="1:5" x14ac:dyDescent="0.25">
      <c r="A144" t="s">
        <v>357</v>
      </c>
      <c r="B144" t="s">
        <v>79</v>
      </c>
      <c r="C144" t="s">
        <v>79</v>
      </c>
      <c r="D144" t="s">
        <v>79</v>
      </c>
      <c r="E144" t="s">
        <v>80</v>
      </c>
    </row>
    <row r="145" spans="1:5" x14ac:dyDescent="0.25">
      <c r="A145" t="s">
        <v>361</v>
      </c>
      <c r="B145" t="s">
        <v>79</v>
      </c>
      <c r="C145" t="s">
        <v>79</v>
      </c>
      <c r="D145" t="s">
        <v>79</v>
      </c>
      <c r="E145" t="s">
        <v>80</v>
      </c>
    </row>
  </sheetData>
  <autoFilter ref="A1:F145" xr:uid="{AD3C175C-B08E-42DF-A7DC-2892E8B8F7F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CropNitrousEstimationDefaultFac</vt:lpstr>
      <vt:lpstr>FAO crop mapping</vt:lpstr>
      <vt:lpstr>Final_list</vt:lpstr>
      <vt:lpstr>Final_values</vt:lpstr>
      <vt:lpstr>Annualsperennials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Horsting, Marco (ESA)</dc:creator>
  <cp:lastModifiedBy>Horsting, Marco (ESA)</cp:lastModifiedBy>
  <dcterms:created xsi:type="dcterms:W3CDTF">2026-04-03T08:52:55Z</dcterms:created>
  <dcterms:modified xsi:type="dcterms:W3CDTF">2026-08-07T14:53:07Z</dcterms:modified>
</cp:coreProperties>
</file>